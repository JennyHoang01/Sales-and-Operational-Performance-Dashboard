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E5D1E7B1-6628-F0F0-D09B-76B25B5F3CD3}"/>
  <fileSharing readOnlyRecommended="1"/>
  <workbookPr codeName="ThisWorkbook" hidePivotFieldList="1" defaultThemeVersion="202300"/>
  <mc:AlternateContent xmlns:mc="http://schemas.openxmlformats.org/markup-compatibility/2006">
    <mc:Choice Requires="x15">
      <x15ac:absPath xmlns:x15ac="http://schemas.microsoft.com/office/spreadsheetml/2010/11/ac" url="/Users/jennyhoang/Desktop/Data practices /projects/"/>
    </mc:Choice>
  </mc:AlternateContent>
  <xr:revisionPtr revIDLastSave="0" documentId="13_ncr:1_{5312BEAB-160E-2841-A98E-823B199269BD}" xr6:coauthVersionLast="47" xr6:coauthVersionMax="47" xr10:uidLastSave="{00000000-0000-0000-0000-000000000000}"/>
  <bookViews>
    <workbookView xWindow="760" yWindow="500" windowWidth="28040" windowHeight="16140" xr2:uid="{8A1FFD69-8AC3-A548-B682-F4A5FAAADE7C}"/>
  </bookViews>
  <sheets>
    <sheet name="Dashboard" sheetId="9" r:id="rId1"/>
    <sheet name="AvgSatisfaction" sheetId="3" r:id="rId2"/>
    <sheet name="AvgDelivery" sheetId="4" r:id="rId3"/>
    <sheet name="AvgOrderValuevsVol" sheetId="5" r:id="rId4"/>
    <sheet name="FeedbackQuality" sheetId="7" r:id="rId5"/>
    <sheet name="SLAstatus" sheetId="8" r:id="rId6"/>
    <sheet name="customer_satisfaction_data" sheetId="2" r:id="rId7"/>
    <sheet name="Service_Level_Agreements_SLA" sheetId="1" r:id="rId8"/>
  </sheets>
  <definedNames>
    <definedName name="_xleta.TIME" hidden="1" xlm="1">#NAME?</definedName>
    <definedName name="clean_data">customer_satisfaction_data!$1:$1048576</definedName>
    <definedName name="ExternalData_1" localSheetId="6" hidden="1">customer_satisfaction_data!$A$1:$N$935</definedName>
    <definedName name="Slicer_Customer_Age_Group">#N/A</definedName>
    <definedName name="Slicer_Customer_Service_Interaction_Clean">#N/A</definedName>
    <definedName name="Slicer_Gender_Clean">#N/A</definedName>
    <definedName name="Slicer_Product_Category">#N/A</definedName>
    <definedName name="Slicer_SLA_Met_Status">#N/A</definedName>
  </definedNames>
  <calcPr calcId="191029"/>
  <pivotCaches>
    <pivotCache cacheId="101" r:id="rId9"/>
  </pivotCaches>
  <extLst>
    <ext xmlns:x14="http://schemas.microsoft.com/office/spreadsheetml/2009/9/main" uri="{BBE1A952-AA13-448e-AADC-164F8A28A991}">
      <x14:slicerCaches>
        <x14:slicerCache r:id="rId10"/>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2" l="1"/>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P679" i="2" s="1"/>
  <c r="O680" i="2"/>
  <c r="O681" i="2"/>
  <c r="O682" i="2"/>
  <c r="O683" i="2"/>
  <c r="O684" i="2"/>
  <c r="O685" i="2"/>
  <c r="O686" i="2"/>
  <c r="O687" i="2"/>
  <c r="P687" i="2" s="1"/>
  <c r="O688" i="2"/>
  <c r="O689" i="2"/>
  <c r="O690" i="2"/>
  <c r="O691" i="2"/>
  <c r="O692" i="2"/>
  <c r="O693" i="2"/>
  <c r="O694" i="2"/>
  <c r="O695" i="2"/>
  <c r="P695" i="2" s="1"/>
  <c r="O696" i="2"/>
  <c r="O697" i="2"/>
  <c r="O698" i="2"/>
  <c r="O699" i="2"/>
  <c r="O700" i="2"/>
  <c r="O701" i="2"/>
  <c r="O702" i="2"/>
  <c r="O703" i="2"/>
  <c r="P703" i="2" s="1"/>
  <c r="O704" i="2"/>
  <c r="O705" i="2"/>
  <c r="O706" i="2"/>
  <c r="O707" i="2"/>
  <c r="O708" i="2"/>
  <c r="O709" i="2"/>
  <c r="O710" i="2"/>
  <c r="O711" i="2"/>
  <c r="P711" i="2" s="1"/>
  <c r="O712" i="2"/>
  <c r="O713" i="2"/>
  <c r="O714" i="2"/>
  <c r="O715" i="2"/>
  <c r="O716" i="2"/>
  <c r="O717" i="2"/>
  <c r="O718" i="2"/>
  <c r="O719" i="2"/>
  <c r="P719" i="2" s="1"/>
  <c r="O720" i="2"/>
  <c r="O721" i="2"/>
  <c r="O722" i="2"/>
  <c r="O723" i="2"/>
  <c r="O724" i="2"/>
  <c r="O725" i="2"/>
  <c r="O726" i="2"/>
  <c r="O727" i="2"/>
  <c r="P727" i="2" s="1"/>
  <c r="O728" i="2"/>
  <c r="O729" i="2"/>
  <c r="O730" i="2"/>
  <c r="O731" i="2"/>
  <c r="O732" i="2"/>
  <c r="O733" i="2"/>
  <c r="O734" i="2"/>
  <c r="O735" i="2"/>
  <c r="P735" i="2" s="1"/>
  <c r="K4" i="3" s="1"/>
  <c r="O736" i="2"/>
  <c r="O737" i="2"/>
  <c r="O738" i="2"/>
  <c r="O739" i="2"/>
  <c r="O740" i="2"/>
  <c r="O741" i="2"/>
  <c r="O742" i="2"/>
  <c r="O743" i="2"/>
  <c r="P743" i="2" s="1"/>
  <c r="O744" i="2"/>
  <c r="O745" i="2"/>
  <c r="O746" i="2"/>
  <c r="O747" i="2"/>
  <c r="O748" i="2"/>
  <c r="O749" i="2"/>
  <c r="O750" i="2"/>
  <c r="O751" i="2"/>
  <c r="P751" i="2" s="1"/>
  <c r="O752" i="2"/>
  <c r="O753" i="2"/>
  <c r="O754" i="2"/>
  <c r="O755" i="2"/>
  <c r="O756" i="2"/>
  <c r="O757" i="2"/>
  <c r="O758" i="2"/>
  <c r="O759" i="2"/>
  <c r="P759" i="2" s="1"/>
  <c r="O760" i="2"/>
  <c r="O761" i="2"/>
  <c r="O762" i="2"/>
  <c r="O763" i="2"/>
  <c r="O764" i="2"/>
  <c r="O765" i="2"/>
  <c r="O766" i="2"/>
  <c r="O767" i="2"/>
  <c r="P767" i="2" s="1"/>
  <c r="O768" i="2"/>
  <c r="O769" i="2"/>
  <c r="O770" i="2"/>
  <c r="O771" i="2"/>
  <c r="O772" i="2"/>
  <c r="O773" i="2"/>
  <c r="O774" i="2"/>
  <c r="O775" i="2"/>
  <c r="P775" i="2" s="1"/>
  <c r="O776" i="2"/>
  <c r="O777" i="2"/>
  <c r="O778" i="2"/>
  <c r="O779" i="2"/>
  <c r="O780" i="2"/>
  <c r="O781" i="2"/>
  <c r="O782" i="2"/>
  <c r="O783" i="2"/>
  <c r="P783" i="2" s="1"/>
  <c r="O784" i="2"/>
  <c r="O785" i="2"/>
  <c r="O786" i="2"/>
  <c r="O787" i="2"/>
  <c r="O788" i="2"/>
  <c r="O789" i="2"/>
  <c r="O790" i="2"/>
  <c r="O791" i="2"/>
  <c r="P791" i="2" s="1"/>
  <c r="O792" i="2"/>
  <c r="O793" i="2"/>
  <c r="O794" i="2"/>
  <c r="O795" i="2"/>
  <c r="O796" i="2"/>
  <c r="O797" i="2"/>
  <c r="O798" i="2"/>
  <c r="O799" i="2"/>
  <c r="P799" i="2" s="1"/>
  <c r="O800" i="2"/>
  <c r="O801" i="2"/>
  <c r="O802" i="2"/>
  <c r="O803" i="2"/>
  <c r="O804" i="2"/>
  <c r="O805" i="2"/>
  <c r="O806" i="2"/>
  <c r="O807" i="2"/>
  <c r="P807" i="2" s="1"/>
  <c r="O808" i="2"/>
  <c r="O809" i="2"/>
  <c r="O810" i="2"/>
  <c r="O811" i="2"/>
  <c r="O812" i="2"/>
  <c r="O813" i="2"/>
  <c r="O814" i="2"/>
  <c r="O815" i="2"/>
  <c r="P815" i="2" s="1"/>
  <c r="O816" i="2"/>
  <c r="O817" i="2"/>
  <c r="O818" i="2"/>
  <c r="O819" i="2"/>
  <c r="O820" i="2"/>
  <c r="P820" i="2" s="1"/>
  <c r="O821" i="2"/>
  <c r="O822" i="2"/>
  <c r="O823" i="2"/>
  <c r="P823" i="2" s="1"/>
  <c r="O824" i="2"/>
  <c r="O825" i="2"/>
  <c r="O826" i="2"/>
  <c r="O827" i="2"/>
  <c r="O828" i="2"/>
  <c r="P828" i="2" s="1"/>
  <c r="O829" i="2"/>
  <c r="O830" i="2"/>
  <c r="O831" i="2"/>
  <c r="P831" i="2" s="1"/>
  <c r="O832" i="2"/>
  <c r="O833" i="2"/>
  <c r="O834" i="2"/>
  <c r="O835" i="2"/>
  <c r="O836" i="2"/>
  <c r="P836" i="2" s="1"/>
  <c r="O837" i="2"/>
  <c r="O838" i="2"/>
  <c r="O839" i="2"/>
  <c r="P839" i="2" s="1"/>
  <c r="O840" i="2"/>
  <c r="O841" i="2"/>
  <c r="O842" i="2"/>
  <c r="O843" i="2"/>
  <c r="O844" i="2"/>
  <c r="P844" i="2" s="1"/>
  <c r="O845" i="2"/>
  <c r="O846" i="2"/>
  <c r="O847" i="2"/>
  <c r="P847" i="2" s="1"/>
  <c r="O848" i="2"/>
  <c r="O849" i="2"/>
  <c r="O850" i="2"/>
  <c r="O851" i="2"/>
  <c r="O852" i="2"/>
  <c r="P852" i="2" s="1"/>
  <c r="O853" i="2"/>
  <c r="O854" i="2"/>
  <c r="O855" i="2"/>
  <c r="P855" i="2" s="1"/>
  <c r="O856" i="2"/>
  <c r="O857" i="2"/>
  <c r="O858" i="2"/>
  <c r="O859" i="2"/>
  <c r="O860" i="2"/>
  <c r="P860" i="2" s="1"/>
  <c r="O861" i="2"/>
  <c r="O862" i="2"/>
  <c r="O863" i="2"/>
  <c r="P863" i="2" s="1"/>
  <c r="O864" i="2"/>
  <c r="O865" i="2"/>
  <c r="O866" i="2"/>
  <c r="O867" i="2"/>
  <c r="O868" i="2"/>
  <c r="P868" i="2" s="1"/>
  <c r="O869" i="2"/>
  <c r="O870" i="2"/>
  <c r="O871" i="2"/>
  <c r="P871" i="2" s="1"/>
  <c r="O872" i="2"/>
  <c r="O873" i="2"/>
  <c r="O874" i="2"/>
  <c r="O875" i="2"/>
  <c r="O876" i="2"/>
  <c r="P876" i="2" s="1"/>
  <c r="O877" i="2"/>
  <c r="O878" i="2"/>
  <c r="O879" i="2"/>
  <c r="P879" i="2" s="1"/>
  <c r="O880" i="2"/>
  <c r="O881" i="2"/>
  <c r="O882" i="2"/>
  <c r="O883" i="2"/>
  <c r="O884" i="2"/>
  <c r="P884" i="2" s="1"/>
  <c r="O885" i="2"/>
  <c r="O886" i="2"/>
  <c r="O887" i="2"/>
  <c r="P887" i="2" s="1"/>
  <c r="O888" i="2"/>
  <c r="O889" i="2"/>
  <c r="O890" i="2"/>
  <c r="O891" i="2"/>
  <c r="P891" i="2" s="1"/>
  <c r="O892" i="2"/>
  <c r="P892" i="2" s="1"/>
  <c r="O893" i="2"/>
  <c r="O894" i="2"/>
  <c r="O895" i="2"/>
  <c r="P895" i="2" s="1"/>
  <c r="O896" i="2"/>
  <c r="O897" i="2"/>
  <c r="O898" i="2"/>
  <c r="O899" i="2"/>
  <c r="O900" i="2"/>
  <c r="P900" i="2" s="1"/>
  <c r="O901" i="2"/>
  <c r="O902" i="2"/>
  <c r="O903" i="2"/>
  <c r="P903" i="2" s="1"/>
  <c r="O904" i="2"/>
  <c r="O905" i="2"/>
  <c r="O906" i="2"/>
  <c r="O907" i="2"/>
  <c r="O908" i="2"/>
  <c r="P908" i="2" s="1"/>
  <c r="O909" i="2"/>
  <c r="O910" i="2"/>
  <c r="O911" i="2"/>
  <c r="P911" i="2" s="1"/>
  <c r="O912" i="2"/>
  <c r="O913" i="2"/>
  <c r="O914" i="2"/>
  <c r="O915" i="2"/>
  <c r="O916" i="2"/>
  <c r="P916" i="2" s="1"/>
  <c r="O917" i="2"/>
  <c r="O918" i="2"/>
  <c r="O919" i="2"/>
  <c r="P919" i="2" s="1"/>
  <c r="O920" i="2"/>
  <c r="O921" i="2"/>
  <c r="O922" i="2"/>
  <c r="O923" i="2"/>
  <c r="O924" i="2"/>
  <c r="P924" i="2" s="1"/>
  <c r="O925" i="2"/>
  <c r="O926" i="2"/>
  <c r="O927" i="2"/>
  <c r="P927" i="2" s="1"/>
  <c r="O928" i="2"/>
  <c r="O929" i="2"/>
  <c r="O930" i="2"/>
  <c r="O931" i="2"/>
  <c r="O932" i="2"/>
  <c r="P932" i="2" s="1"/>
  <c r="O933" i="2"/>
  <c r="O934" i="2"/>
  <c r="O935" i="2"/>
  <c r="P935" i="2" s="1"/>
  <c r="P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80" i="2"/>
  <c r="P681" i="2"/>
  <c r="P682" i="2"/>
  <c r="P683" i="2"/>
  <c r="P684" i="2"/>
  <c r="P685" i="2"/>
  <c r="P686" i="2"/>
  <c r="P688" i="2"/>
  <c r="P689" i="2"/>
  <c r="P690" i="2"/>
  <c r="P691" i="2"/>
  <c r="P692" i="2"/>
  <c r="P693" i="2"/>
  <c r="P694" i="2"/>
  <c r="P696" i="2"/>
  <c r="P697" i="2"/>
  <c r="P698" i="2"/>
  <c r="P699" i="2"/>
  <c r="P700" i="2"/>
  <c r="P701" i="2"/>
  <c r="P702" i="2"/>
  <c r="P704" i="2"/>
  <c r="P705" i="2"/>
  <c r="P706" i="2"/>
  <c r="P707" i="2"/>
  <c r="P708" i="2"/>
  <c r="P709" i="2"/>
  <c r="P710" i="2"/>
  <c r="P712" i="2"/>
  <c r="P713" i="2"/>
  <c r="P714" i="2"/>
  <c r="P715" i="2"/>
  <c r="P716" i="2"/>
  <c r="P717" i="2"/>
  <c r="P718" i="2"/>
  <c r="P720" i="2"/>
  <c r="P721" i="2"/>
  <c r="P722" i="2"/>
  <c r="P723" i="2"/>
  <c r="P724" i="2"/>
  <c r="P725" i="2"/>
  <c r="P726" i="2"/>
  <c r="P728" i="2"/>
  <c r="P729" i="2"/>
  <c r="P730" i="2"/>
  <c r="P731" i="2"/>
  <c r="P732" i="2"/>
  <c r="P733" i="2"/>
  <c r="P734" i="2"/>
  <c r="P736" i="2"/>
  <c r="P737" i="2"/>
  <c r="P738" i="2"/>
  <c r="P739" i="2"/>
  <c r="P740" i="2"/>
  <c r="P741" i="2"/>
  <c r="P742" i="2"/>
  <c r="P744" i="2"/>
  <c r="P745" i="2"/>
  <c r="P746" i="2"/>
  <c r="P747" i="2"/>
  <c r="P748" i="2"/>
  <c r="P749" i="2"/>
  <c r="P750" i="2"/>
  <c r="P752" i="2"/>
  <c r="P753" i="2"/>
  <c r="P754" i="2"/>
  <c r="P755" i="2"/>
  <c r="P756" i="2"/>
  <c r="P757" i="2"/>
  <c r="P758" i="2"/>
  <c r="P760" i="2"/>
  <c r="P761" i="2"/>
  <c r="P762" i="2"/>
  <c r="P763" i="2"/>
  <c r="P764" i="2"/>
  <c r="P765" i="2"/>
  <c r="P766" i="2"/>
  <c r="P768" i="2"/>
  <c r="P769" i="2"/>
  <c r="P770" i="2"/>
  <c r="P771" i="2"/>
  <c r="P772" i="2"/>
  <c r="P773" i="2"/>
  <c r="P774" i="2"/>
  <c r="P776" i="2"/>
  <c r="P777" i="2"/>
  <c r="P778" i="2"/>
  <c r="P779" i="2"/>
  <c r="P780" i="2"/>
  <c r="P781" i="2"/>
  <c r="P782" i="2"/>
  <c r="P784" i="2"/>
  <c r="P785" i="2"/>
  <c r="P786" i="2"/>
  <c r="P787" i="2"/>
  <c r="P788" i="2"/>
  <c r="P789" i="2"/>
  <c r="P790" i="2"/>
  <c r="P792" i="2"/>
  <c r="P793" i="2"/>
  <c r="P794" i="2"/>
  <c r="P795" i="2"/>
  <c r="P796" i="2"/>
  <c r="P797" i="2"/>
  <c r="P798" i="2"/>
  <c r="P800" i="2"/>
  <c r="P801" i="2"/>
  <c r="P802" i="2"/>
  <c r="P803" i="2"/>
  <c r="P804" i="2"/>
  <c r="P805" i="2"/>
  <c r="P806" i="2"/>
  <c r="P808" i="2"/>
  <c r="P809" i="2"/>
  <c r="P810" i="2"/>
  <c r="P811" i="2"/>
  <c r="P812" i="2"/>
  <c r="P813" i="2"/>
  <c r="P814" i="2"/>
  <c r="P816" i="2"/>
  <c r="P817" i="2"/>
  <c r="P818" i="2"/>
  <c r="P819" i="2"/>
  <c r="P821" i="2"/>
  <c r="P822" i="2"/>
  <c r="P824" i="2"/>
  <c r="P825" i="2"/>
  <c r="P826" i="2"/>
  <c r="P827" i="2"/>
  <c r="P829" i="2"/>
  <c r="P830" i="2"/>
  <c r="P832" i="2"/>
  <c r="P833" i="2"/>
  <c r="P834" i="2"/>
  <c r="P835" i="2"/>
  <c r="P837" i="2"/>
  <c r="P838" i="2"/>
  <c r="P840" i="2"/>
  <c r="P841" i="2"/>
  <c r="P842" i="2"/>
  <c r="P843" i="2"/>
  <c r="P845" i="2"/>
  <c r="P846" i="2"/>
  <c r="P848" i="2"/>
  <c r="P849" i="2"/>
  <c r="P850" i="2"/>
  <c r="P851" i="2"/>
  <c r="P853" i="2"/>
  <c r="P854" i="2"/>
  <c r="P856" i="2"/>
  <c r="P857" i="2"/>
  <c r="P858" i="2"/>
  <c r="P859" i="2"/>
  <c r="P861" i="2"/>
  <c r="P862" i="2"/>
  <c r="P864" i="2"/>
  <c r="P865" i="2"/>
  <c r="P866" i="2"/>
  <c r="P867" i="2"/>
  <c r="P869" i="2"/>
  <c r="P870" i="2"/>
  <c r="P872" i="2"/>
  <c r="P873" i="2"/>
  <c r="P874" i="2"/>
  <c r="P875" i="2"/>
  <c r="P877" i="2"/>
  <c r="P878" i="2"/>
  <c r="P880" i="2"/>
  <c r="P881" i="2"/>
  <c r="P882" i="2"/>
  <c r="P883" i="2"/>
  <c r="P885" i="2"/>
  <c r="P886" i="2"/>
  <c r="P888" i="2"/>
  <c r="P889" i="2"/>
  <c r="P890" i="2"/>
  <c r="P893" i="2"/>
  <c r="P894" i="2"/>
  <c r="P896" i="2"/>
  <c r="P897" i="2"/>
  <c r="P898" i="2"/>
  <c r="P899" i="2"/>
  <c r="P901" i="2"/>
  <c r="P902" i="2"/>
  <c r="P904" i="2"/>
  <c r="P905" i="2"/>
  <c r="P906" i="2"/>
  <c r="P907" i="2"/>
  <c r="P909" i="2"/>
  <c r="P910" i="2"/>
  <c r="P912" i="2"/>
  <c r="P913" i="2"/>
  <c r="P914" i="2"/>
  <c r="P915" i="2"/>
  <c r="P917" i="2"/>
  <c r="P918" i="2"/>
  <c r="P920" i="2"/>
  <c r="P921" i="2"/>
  <c r="P922" i="2"/>
  <c r="P923" i="2"/>
  <c r="P925" i="2"/>
  <c r="P926" i="2"/>
  <c r="P928" i="2"/>
  <c r="P929" i="2"/>
  <c r="P930" i="2"/>
  <c r="P931" i="2"/>
  <c r="P933" i="2"/>
  <c r="P934" i="2"/>
  <c r="K6" i="3"/>
  <c r="K3" i="3"/>
  <c r="K7" i="3"/>
  <c r="K5"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547828D-ACEB-F84A-987D-8E4338499B8C}" keepAlive="1" name="Query - customer_satisfaction_cleaned" description="Connection to the 'customer_satisfaction_cleaned' query in the workbook." type="5" refreshedVersion="8" background="1" saveData="1">
    <dbPr connection="Provider=Microsoft.Mashup.OleDb.1;Data Source=$Workbook$;Location=customer_satisfaction_cleaned;Extended Properties=&quot;&quot;" command="SELECT * FROM [customer_satisfaction_cleaned]"/>
  </connection>
</connections>
</file>

<file path=xl/sharedStrings.xml><?xml version="1.0" encoding="utf-8"?>
<sst xmlns="http://schemas.openxmlformats.org/spreadsheetml/2006/main" count="8466" uniqueCount="944">
  <si>
    <t>Customer ID</t>
  </si>
  <si>
    <t>Product Category</t>
  </si>
  <si>
    <t>Satisfaction Score</t>
  </si>
  <si>
    <t>Days for Delivery</t>
  </si>
  <si>
    <t>Customer Service Interaction</t>
  </si>
  <si>
    <t>Purchase Amount</t>
  </si>
  <si>
    <t>Customer Age</t>
  </si>
  <si>
    <t>Gender</t>
  </si>
  <si>
    <t>Gender_Clean</t>
  </si>
  <si>
    <t>Purchase Amount_Financial KPI</t>
  </si>
  <si>
    <t>Delivery_Status</t>
  </si>
  <si>
    <t>CUST0022</t>
  </si>
  <si>
    <t>Electronics</t>
  </si>
  <si>
    <t>NO</t>
  </si>
  <si>
    <t>M</t>
  </si>
  <si>
    <t>MALE</t>
  </si>
  <si>
    <t>OK</t>
  </si>
  <si>
    <t>GUEST</t>
  </si>
  <si>
    <t>Books</t>
  </si>
  <si>
    <t>Y</t>
  </si>
  <si>
    <t>FEMALE</t>
  </si>
  <si>
    <t>YES</t>
  </si>
  <si>
    <t>CUST0748</t>
  </si>
  <si>
    <t>Home Goods</t>
  </si>
  <si>
    <t>OTHER</t>
  </si>
  <si>
    <t>MISSING</t>
  </si>
  <si>
    <t>CUST0244</t>
  </si>
  <si>
    <t>CUST0684</t>
  </si>
  <si>
    <t>CUST0799</t>
  </si>
  <si>
    <t>NAN</t>
  </si>
  <si>
    <t>CUST0467</t>
  </si>
  <si>
    <t>CUST0722</t>
  </si>
  <si>
    <t>N</t>
  </si>
  <si>
    <t>CUST0194</t>
  </si>
  <si>
    <t/>
  </si>
  <si>
    <t>CUST0865</t>
  </si>
  <si>
    <t>UNCATEGORISED</t>
  </si>
  <si>
    <t>CUST0681</t>
  </si>
  <si>
    <t>CUST0440</t>
  </si>
  <si>
    <t>CUST0410</t>
  </si>
  <si>
    <t>CUST0900</t>
  </si>
  <si>
    <t>CUST0067</t>
  </si>
  <si>
    <t>PREFER NOT TO SAY</t>
  </si>
  <si>
    <t>CUST0465</t>
  </si>
  <si>
    <t>F</t>
  </si>
  <si>
    <t>CUST0359</t>
  </si>
  <si>
    <t>CUST0432</t>
  </si>
  <si>
    <t>Clothing</t>
  </si>
  <si>
    <t>CUST0895</t>
  </si>
  <si>
    <t>CUST0119</t>
  </si>
  <si>
    <t>CUST0146</t>
  </si>
  <si>
    <t>CUST0181</t>
  </si>
  <si>
    <t>CUST0675</t>
  </si>
  <si>
    <t>CUST0049</t>
  </si>
  <si>
    <t>CUST0735</t>
  </si>
  <si>
    <t>CUST0200</t>
  </si>
  <si>
    <t>CUST0298</t>
  </si>
  <si>
    <t>CUST0940</t>
  </si>
  <si>
    <t>CUST0453</t>
  </si>
  <si>
    <t>CUST0557</t>
  </si>
  <si>
    <t>CUST0007</t>
  </si>
  <si>
    <t>CUST0191</t>
  </si>
  <si>
    <t>CUST0452</t>
  </si>
  <si>
    <t>CUST0592</t>
  </si>
  <si>
    <t>CUST0929</t>
  </si>
  <si>
    <t>CUST0630</t>
  </si>
  <si>
    <t>CUST0282</t>
  </si>
  <si>
    <t>CUST0814</t>
  </si>
  <si>
    <t>CUST0843</t>
  </si>
  <si>
    <t>CUST0870</t>
  </si>
  <si>
    <t>CUST0172</t>
  </si>
  <si>
    <t>CUST0347</t>
  </si>
  <si>
    <t>CUST0782</t>
  </si>
  <si>
    <t>CUST0867</t>
  </si>
  <si>
    <t>CUST0212</t>
  </si>
  <si>
    <t>CUST0424</t>
  </si>
  <si>
    <t>CUST0140</t>
  </si>
  <si>
    <t>CUST0466</t>
  </si>
  <si>
    <t>CUST0840</t>
  </si>
  <si>
    <t>CUST0073</t>
  </si>
  <si>
    <t>CUST0213</t>
  </si>
  <si>
    <t>CUST0976</t>
  </si>
  <si>
    <t>CUST0356</t>
  </si>
  <si>
    <t>CUST0053</t>
  </si>
  <si>
    <t>CUST0966</t>
  </si>
  <si>
    <t>CUST0556</t>
  </si>
  <si>
    <t>CUST0818</t>
  </si>
  <si>
    <t>CUST0811</t>
  </si>
  <si>
    <t>CUST0145</t>
  </si>
  <si>
    <t>CUST0186</t>
  </si>
  <si>
    <t>CUST0037</t>
  </si>
  <si>
    <t>CUST0750</t>
  </si>
  <si>
    <t>CUST0135</t>
  </si>
  <si>
    <t>CUST0767</t>
  </si>
  <si>
    <t>CUST0772</t>
  </si>
  <si>
    <t>CUST0773</t>
  </si>
  <si>
    <t>CUST0197</t>
  </si>
  <si>
    <t>CUST0606</t>
  </si>
  <si>
    <t>CUST0833</t>
  </si>
  <si>
    <t>CUST0757</t>
  </si>
  <si>
    <t>CUST0978</t>
  </si>
  <si>
    <t>CUST0021</t>
  </si>
  <si>
    <t>CUST0245</t>
  </si>
  <si>
    <t>CUST0803</t>
  </si>
  <si>
    <t>CUST0016</t>
  </si>
  <si>
    <t>CUST0957</t>
  </si>
  <si>
    <t>CUST0078</t>
  </si>
  <si>
    <t>CUST0643</t>
  </si>
  <si>
    <t>CUST0455</t>
  </si>
  <si>
    <t>CUST0486</t>
  </si>
  <si>
    <t>CUST0165</t>
  </si>
  <si>
    <t>CUST0733</t>
  </si>
  <si>
    <t>CUST0600</t>
  </si>
  <si>
    <t>CUST0560</t>
  </si>
  <si>
    <t>CUST0537</t>
  </si>
  <si>
    <t>CUST0507</t>
  </si>
  <si>
    <t>CUST0496</t>
  </si>
  <si>
    <t>CUST0263</t>
  </si>
  <si>
    <t>CUST0445</t>
  </si>
  <si>
    <t>CUST0741</t>
  </si>
  <si>
    <t>CUST0334</t>
  </si>
  <si>
    <t>CUST0147</t>
  </si>
  <si>
    <t>CUST0351</t>
  </si>
  <si>
    <t>CUST0622</t>
  </si>
  <si>
    <t>CUST0394</t>
  </si>
  <si>
    <t>CUST0872</t>
  </si>
  <si>
    <t>CUST0387</t>
  </si>
  <si>
    <t>CUST0420</t>
  </si>
  <si>
    <t>CUST0753</t>
  </si>
  <si>
    <t>CUST0449</t>
  </si>
  <si>
    <t>CUST0620</t>
  </si>
  <si>
    <t>CUST0894</t>
  </si>
  <si>
    <t>CUST0639</t>
  </si>
  <si>
    <t>NEGATIVE DAYS</t>
  </si>
  <si>
    <t>CUST0262</t>
  </si>
  <si>
    <t>CUST0902</t>
  </si>
  <si>
    <t>CUST0398</t>
  </si>
  <si>
    <t>CUST0010</t>
  </si>
  <si>
    <t>CUST0851</t>
  </si>
  <si>
    <t>CUST0238</t>
  </si>
  <si>
    <t>CUST0991</t>
  </si>
  <si>
    <t>CUST0177</t>
  </si>
  <si>
    <t>CUST0800</t>
  </si>
  <si>
    <t>CUST0422</t>
  </si>
  <si>
    <t>CUST0709</t>
  </si>
  <si>
    <t>CUST0926</t>
  </si>
  <si>
    <t>CUST0732</t>
  </si>
  <si>
    <t>CUST0614</t>
  </si>
  <si>
    <t>CUST0285</t>
  </si>
  <si>
    <t>CUST0794</t>
  </si>
  <si>
    <t>CUST0260</t>
  </si>
  <si>
    <t>CUST0747</t>
  </si>
  <si>
    <t>CUST0796</t>
  </si>
  <si>
    <t>CUST0429</t>
  </si>
  <si>
    <t>CUST0417</t>
  </si>
  <si>
    <t>CUST0573</t>
  </si>
  <si>
    <t>CUST0239</t>
  </si>
  <si>
    <t>CUST0473</t>
  </si>
  <si>
    <t>CUST0216</t>
  </si>
  <si>
    <t>CUST0746</t>
  </si>
  <si>
    <t>CUST0247</t>
  </si>
  <si>
    <t>CUST0477</t>
  </si>
  <si>
    <t>CUST0126</t>
  </si>
  <si>
    <t>CUST0309</t>
  </si>
  <si>
    <t>CUST0776</t>
  </si>
  <si>
    <t>CUST0367</t>
  </si>
  <si>
    <t>CUST0775</t>
  </si>
  <si>
    <t>CUST0545</t>
  </si>
  <si>
    <t>CUST0256</t>
  </si>
  <si>
    <t>CUST0117</t>
  </si>
  <si>
    <t>CUST0430</t>
  </si>
  <si>
    <t>CUST0626</t>
  </si>
  <si>
    <t>CUST0236</t>
  </si>
  <si>
    <t>CUST0969</t>
  </si>
  <si>
    <t>CUST0771</t>
  </si>
  <si>
    <t>CUST0405</t>
  </si>
  <si>
    <t>CUST0918</t>
  </si>
  <si>
    <t>CUST0105</t>
  </si>
  <si>
    <t>CUST0958</t>
  </si>
  <si>
    <t>CUST0737</t>
  </si>
  <si>
    <t>CUST0400</t>
  </si>
  <si>
    <t>CUST0541</t>
  </si>
  <si>
    <t>CUST0832</t>
  </si>
  <si>
    <t>CUST0404</t>
  </si>
  <si>
    <t>CUST0793</t>
  </si>
  <si>
    <t>CUST0515</t>
  </si>
  <si>
    <t>CUST0824</t>
  </si>
  <si>
    <t>CUST0074</t>
  </si>
  <si>
    <t>CUST0858</t>
  </si>
  <si>
    <t>CUST0601</t>
  </si>
  <si>
    <t>CUST0619</t>
  </si>
  <si>
    <t>CUST0582</t>
  </si>
  <si>
    <t>CUST0423</t>
  </si>
  <si>
    <t>CUST0178</t>
  </si>
  <si>
    <t>CUST0599</t>
  </si>
  <si>
    <t>CUST0047</t>
  </si>
  <si>
    <t>CUST0141</t>
  </si>
  <si>
    <t>CUST0269</t>
  </si>
  <si>
    <t>CUST0714</t>
  </si>
  <si>
    <t>CUST0763</t>
  </si>
  <si>
    <t>CUST0935</t>
  </si>
  <si>
    <t>CUST0079</t>
  </si>
  <si>
    <t>CUST0336</t>
  </si>
  <si>
    <t>CUST0781</t>
  </si>
  <si>
    <t>CUST0513</t>
  </si>
  <si>
    <t>CUST0638</t>
  </si>
  <si>
    <t>CUST0901</t>
  </si>
  <si>
    <t>CUST0393</t>
  </si>
  <si>
    <t>CUST0396</t>
  </si>
  <si>
    <t>CUST0653</t>
  </si>
  <si>
    <t>CUST0540</t>
  </si>
  <si>
    <t>CUST0084</t>
  </si>
  <si>
    <t>CUST0137</t>
  </si>
  <si>
    <t>CUST0979</t>
  </si>
  <si>
    <t>CUST0905</t>
  </si>
  <si>
    <t>CUST0837</t>
  </si>
  <si>
    <t>CUST0444</t>
  </si>
  <si>
    <t>CUST0190</t>
  </si>
  <si>
    <t>CUST0517</t>
  </si>
  <si>
    <t>CUST0363</t>
  </si>
  <si>
    <t>CUST0579</t>
  </si>
  <si>
    <t>CUST0093</t>
  </si>
  <si>
    <t>CUST0603</t>
  </si>
  <si>
    <t>CUST0649</t>
  </si>
  <si>
    <t>CUST0888</t>
  </si>
  <si>
    <t>CUST0082</t>
  </si>
  <si>
    <t>CUST0646</t>
  </si>
  <si>
    <t>CUST0208</t>
  </si>
  <si>
    <t>CUST0434</t>
  </si>
  <si>
    <t>CUST0527</t>
  </si>
  <si>
    <t>CUST0974</t>
  </si>
  <si>
    <t>CUST0196</t>
  </si>
  <si>
    <t>CUST0470</t>
  </si>
  <si>
    <t>CUST0992</t>
  </si>
  <si>
    <t>CUST0829</t>
  </si>
  <si>
    <t>CUST0464</t>
  </si>
  <si>
    <t>CUST0812</t>
  </si>
  <si>
    <t>CUST0678</t>
  </si>
  <si>
    <t>CUST0617</t>
  </si>
  <si>
    <t>CUST0411</t>
  </si>
  <si>
    <t>CUST0551</t>
  </si>
  <si>
    <t>CUST0999</t>
  </si>
  <si>
    <t>CUST0157</t>
  </si>
  <si>
    <t>CUST0655</t>
  </si>
  <si>
    <t>CUST0275</t>
  </si>
  <si>
    <t>CUST0307</t>
  </si>
  <si>
    <t>CUST0868</t>
  </si>
  <si>
    <t>CUST0283</t>
  </si>
  <si>
    <t>CUST0792</t>
  </si>
  <si>
    <t>CUST0476</t>
  </si>
  <si>
    <t>CUST0562</t>
  </si>
  <si>
    <t>CUST0419</t>
  </si>
  <si>
    <t>CUST0019</t>
  </si>
  <si>
    <t>CUST0919</t>
  </si>
  <si>
    <t>CUST0131</t>
  </si>
  <si>
    <t>CUST0593</t>
  </si>
  <si>
    <t>CUST0305</t>
  </si>
  <si>
    <t>CUST0065</t>
  </si>
  <si>
    <t>CUST0928</t>
  </si>
  <si>
    <t>CUST0885</t>
  </si>
  <si>
    <t>CUST0683</t>
  </si>
  <si>
    <t>CUST0588</t>
  </si>
  <si>
    <t>CUST0718</t>
  </si>
  <si>
    <t>CUST0913</t>
  </si>
  <si>
    <t>CUST0846</t>
  </si>
  <si>
    <t>CUST0148</t>
  </si>
  <si>
    <t>CUST0443</t>
  </si>
  <si>
    <t>CUST0982</t>
  </si>
  <si>
    <t>CUST0506</t>
  </si>
  <si>
    <t>CUST0652</t>
  </si>
  <si>
    <t>CUST0064</t>
  </si>
  <si>
    <t>CUST0460</t>
  </si>
  <si>
    <t>CUST0774</t>
  </si>
  <si>
    <t>CUST0098</t>
  </si>
  <si>
    <t>CUST0899</t>
  </si>
  <si>
    <t>CUST0660</t>
  </si>
  <si>
    <t>CUST0952</t>
  </si>
  <si>
    <t>CUST0318</t>
  </si>
  <si>
    <t>CUST0290</t>
  </si>
  <si>
    <t>CUST0687</t>
  </si>
  <si>
    <t>CUST0427</t>
  </si>
  <si>
    <t>CUST0908</t>
  </si>
  <si>
    <t>CUST0566</t>
  </si>
  <si>
    <t>CUST0798</t>
  </si>
  <si>
    <t>CUST0945</t>
  </si>
  <si>
    <t>CUST0204</t>
  </si>
  <si>
    <t>CUST0641</t>
  </si>
  <si>
    <t>CUST0151</t>
  </si>
  <si>
    <t>CUST0925</t>
  </si>
  <si>
    <t>CUST0034</t>
  </si>
  <si>
    <t>CUST0056</t>
  </si>
  <si>
    <t>CUST0301</t>
  </si>
  <si>
    <t>CUST0514</t>
  </si>
  <si>
    <t>CUST0701</t>
  </si>
  <si>
    <t>CUST0959</t>
  </si>
  <si>
    <t>CUST0338</t>
  </si>
  <si>
    <t>CUST0491</t>
  </si>
  <si>
    <t>CUST0508</t>
  </si>
  <si>
    <t>CUST0339</t>
  </si>
  <si>
    <t>CUST0657</t>
  </si>
  <si>
    <t>CUST0488</t>
  </si>
  <si>
    <t>CUST0136</t>
  </si>
  <si>
    <t>CUST0910</t>
  </si>
  <si>
    <t>CUST0755</t>
  </si>
  <si>
    <t>CUST0848</t>
  </si>
  <si>
    <t>CUST0385</t>
  </si>
  <si>
    <t>CUST0287</t>
  </si>
  <si>
    <t>CUST0144</t>
  </si>
  <si>
    <t>CUST0076</t>
  </si>
  <si>
    <t>CUST0856</t>
  </si>
  <si>
    <t>CUST0185</t>
  </si>
  <si>
    <t>CUST0503</t>
  </si>
  <si>
    <t>CUST0234</t>
  </si>
  <si>
    <t>CUST0828</t>
  </si>
  <si>
    <t>CUST0092</t>
  </si>
  <si>
    <t>CUST0320</t>
  </si>
  <si>
    <t>CUST0944</t>
  </si>
  <si>
    <t>CUST0091</t>
  </si>
  <si>
    <t>CUST0695</t>
  </si>
  <si>
    <t>CUST0097</t>
  </si>
  <si>
    <t>CUST0362</t>
  </si>
  <si>
    <t>CUST0686</t>
  </si>
  <si>
    <t>CUST0520</t>
  </si>
  <si>
    <t>CUST0705</t>
  </si>
  <si>
    <t>CUST0322</t>
  </si>
  <si>
    <t>CUST0408</t>
  </si>
  <si>
    <t>CUST0108</t>
  </si>
  <si>
    <t>CUST0081</t>
  </si>
  <si>
    <t>CUST0413</t>
  </si>
  <si>
    <t>CUST0182</t>
  </si>
  <si>
    <t>CUST0040</t>
  </si>
  <si>
    <t>CUST0483</t>
  </si>
  <si>
    <t>CUST0539</t>
  </si>
  <si>
    <t>CUST0790</t>
  </si>
  <si>
    <t>CUST0742</t>
  </si>
  <si>
    <t>CUST0627</t>
  </si>
  <si>
    <t>CUST0898</t>
  </si>
  <si>
    <t>CUST0431</t>
  </si>
  <si>
    <t>CUST0373</t>
  </si>
  <si>
    <t>CUST0949</t>
  </si>
  <si>
    <t>CUST0904</t>
  </si>
  <si>
    <t>CUST0836</t>
  </si>
  <si>
    <t>CUST0280</t>
  </si>
  <si>
    <t>CUST0610</t>
  </si>
  <si>
    <t>CUST0348</t>
  </si>
  <si>
    <t>CUST0333</t>
  </si>
  <si>
    <t>CUST0402</t>
  </si>
  <si>
    <t>CUST0950</t>
  </si>
  <si>
    <t>CUST0315</t>
  </si>
  <si>
    <t>CUST0696</t>
  </si>
  <si>
    <t>CUST0195</t>
  </si>
  <si>
    <t>CUST0713</t>
  </si>
  <si>
    <t>CUST0326</t>
  </si>
  <si>
    <t>CUST0403</t>
  </si>
  <si>
    <t>CUST0023</t>
  </si>
  <si>
    <t>CUST0122</t>
  </si>
  <si>
    <t>CUST0237</t>
  </si>
  <si>
    <t>CUST0099</t>
  </si>
  <si>
    <t>CUST0442</t>
  </si>
  <si>
    <t>CUST0694</t>
  </si>
  <si>
    <t>CUST0437</t>
  </si>
  <si>
    <t>CUST0284</t>
  </si>
  <si>
    <t>CUST0934</t>
  </si>
  <si>
    <t>CUST0510</t>
  </si>
  <si>
    <t>CUST0762</t>
  </si>
  <si>
    <t>CUST0797</t>
  </si>
  <si>
    <t>CUST0183</t>
  </si>
  <si>
    <t>CUST0635</t>
  </si>
  <si>
    <t>CUST0164</t>
  </si>
  <si>
    <t>CUST0206</t>
  </si>
  <si>
    <t>CUST0875</t>
  </si>
  <si>
    <t>CUST0138</t>
  </si>
  <si>
    <t>CUST0039</t>
  </si>
  <si>
    <t>CUST0063</t>
  </si>
  <si>
    <t>CUST0938</t>
  </si>
  <si>
    <t>CUST0613</t>
  </si>
  <si>
    <t>CUST0956</t>
  </si>
  <si>
    <t>CUST0123</t>
  </si>
  <si>
    <t>CUST0623</t>
  </si>
  <si>
    <t>CUST0946</t>
  </si>
  <si>
    <t>CUST0355</t>
  </si>
  <si>
    <t>CUST0139</t>
  </si>
  <si>
    <t>CUST0892</t>
  </si>
  <si>
    <t>CUST0409</t>
  </si>
  <si>
    <t>CUST0685</t>
  </si>
  <si>
    <t>CUST0041</t>
  </si>
  <si>
    <t>CUST0839</t>
  </si>
  <si>
    <t>CUST0625</t>
  </si>
  <si>
    <t>CUST0682</t>
  </si>
  <si>
    <t>CUST0294</t>
  </si>
  <si>
    <t>CUST0061</t>
  </si>
  <si>
    <t>CUST0386</t>
  </si>
  <si>
    <t>CUST0142</t>
  </si>
  <si>
    <t>CUST0915</t>
  </si>
  <si>
    <t>CUST0278</t>
  </si>
  <si>
    <t>CUST0511</t>
  </si>
  <si>
    <t>CUST0242</t>
  </si>
  <si>
    <t>CUST0702</t>
  </si>
  <si>
    <t>CUST0636</t>
  </si>
  <si>
    <t>CUST0963</t>
  </si>
  <si>
    <t>CUST0096</t>
  </si>
  <si>
    <t>CUST0528</t>
  </si>
  <si>
    <t>CUST0589</t>
  </si>
  <si>
    <t>CUST0860</t>
  </si>
  <si>
    <t>CUST0254</t>
  </si>
  <si>
    <t>CUST0011</t>
  </si>
  <si>
    <t>CUST0809</t>
  </si>
  <si>
    <t>CUST0816</t>
  </si>
  <si>
    <t>CUST0943</t>
  </si>
  <si>
    <t>CUST0051</t>
  </si>
  <si>
    <t>CUST0207</t>
  </si>
  <si>
    <t>CUST0897</t>
  </si>
  <si>
    <t>CUST0965</t>
  </si>
  <si>
    <t>CUST0421</t>
  </si>
  <si>
    <t>CUST0441</t>
  </si>
  <si>
    <t>CUST0219</t>
  </si>
  <si>
    <t>CUST0877</t>
  </si>
  <si>
    <t>CUST0472</t>
  </si>
  <si>
    <t>CUST0240</t>
  </si>
  <si>
    <t>CUST0306</t>
  </si>
  <si>
    <t>CUST0261</t>
  </si>
  <si>
    <t>CUST0087</t>
  </si>
  <si>
    <t>CUST0345</t>
  </si>
  <si>
    <t>CUST0471</t>
  </si>
  <si>
    <t>CUST0784</t>
  </si>
  <si>
    <t>CUST0116</t>
  </si>
  <si>
    <t>CUST0020</t>
  </si>
  <si>
    <t>CUST0286</t>
  </si>
  <si>
    <t>CUST0501</t>
  </si>
  <si>
    <t>CUST0248</t>
  </si>
  <si>
    <t>CUST0249</t>
  </si>
  <si>
    <t>CUST0787</t>
  </si>
  <si>
    <t>CUST0253</t>
  </si>
  <si>
    <t>CUST0924</t>
  </si>
  <si>
    <t>CUST0575</t>
  </si>
  <si>
    <t>CUST0335</t>
  </si>
  <si>
    <t>CUST0083</t>
  </si>
  <si>
    <t>CUST0647</t>
  </si>
  <si>
    <t>CUST0711</t>
  </si>
  <si>
    <t>CUST0439</t>
  </si>
  <si>
    <t>CUST0526</t>
  </si>
  <si>
    <t>CUST0158</t>
  </si>
  <si>
    <t>CUST0243</t>
  </si>
  <si>
    <t>CUST0337</t>
  </si>
  <si>
    <t>CUST0266</t>
  </si>
  <si>
    <t>CUST0866</t>
  </si>
  <si>
    <t>CUST0291</t>
  </si>
  <si>
    <t>CUST0376</t>
  </si>
  <si>
    <t>CUST0169</t>
  </si>
  <si>
    <t>CUST0435</t>
  </si>
  <si>
    <t>CUST0415</t>
  </si>
  <si>
    <t>CUST0780</t>
  </si>
  <si>
    <t>CUST0759</t>
  </si>
  <si>
    <t>CUST0852</t>
  </si>
  <si>
    <t>CUST0964</t>
  </si>
  <si>
    <t>CUST0993</t>
  </si>
  <si>
    <t>CUST0109</t>
  </si>
  <si>
    <t>CUST0272</t>
  </si>
  <si>
    <t>CUST0044</t>
  </si>
  <si>
    <t>CUST0438</t>
  </si>
  <si>
    <t>CUST0461</t>
  </si>
  <si>
    <t>CUST0059</t>
  </si>
  <si>
    <t>CUST0707</t>
  </si>
  <si>
    <t>CUST0071</t>
  </si>
  <si>
    <t>CUST0388</t>
  </si>
  <si>
    <t>CUST0862</t>
  </si>
  <si>
    <t>CUST0085</t>
  </si>
  <si>
    <t>CUST0344</t>
  </si>
  <si>
    <t>CUST0813</t>
  </si>
  <si>
    <t>CUST0193</t>
  </si>
  <si>
    <t>CUST0650</t>
  </si>
  <si>
    <t>CUST0463</t>
  </si>
  <si>
    <t>CUST0038</t>
  </si>
  <si>
    <t>CUST0227</t>
  </si>
  <si>
    <t>CUST0159</t>
  </si>
  <si>
    <t>CUST0175</t>
  </si>
  <si>
    <t>CUST0512</t>
  </si>
  <si>
    <t>CUST0118</t>
  </si>
  <si>
    <t>CUST0785</t>
  </si>
  <si>
    <t>CUST0967</t>
  </si>
  <si>
    <t>CUST0778</t>
  </si>
  <si>
    <t>CUST0479</t>
  </si>
  <si>
    <t>CUST0909</t>
  </si>
  <si>
    <t>CUST0173</t>
  </si>
  <si>
    <t>CUST0532</t>
  </si>
  <si>
    <t>CUST0075</t>
  </si>
  <si>
    <t>CUST0223</t>
  </si>
  <si>
    <t>CUST0295</t>
  </si>
  <si>
    <t>CUST0980</t>
  </si>
  <si>
    <t>CUST0584</t>
  </si>
  <si>
    <t>CUST0029</t>
  </si>
  <si>
    <t>CUST0712</t>
  </si>
  <si>
    <t>CUST0590</t>
  </si>
  <si>
    <t>CUST0835</t>
  </si>
  <si>
    <t>CUST0962</t>
  </si>
  <si>
    <t>CUST0341</t>
  </si>
  <si>
    <t>CUST0279</t>
  </si>
  <si>
    <t>CUST0671</t>
  </si>
  <si>
    <t>CUST0559</t>
  </si>
  <si>
    <t>CUST0014</t>
  </si>
  <si>
    <t>CUST0931</t>
  </si>
  <si>
    <t>CUST0048</t>
  </si>
  <si>
    <t>CUST0522</t>
  </si>
  <si>
    <t>CUST0349</t>
  </si>
  <si>
    <t>CUST0801</t>
  </si>
  <si>
    <t>CUST0218</t>
  </si>
  <si>
    <t>CUST0693</t>
  </si>
  <si>
    <t>CUST0874</t>
  </si>
  <si>
    <t>CUST0690</t>
  </si>
  <si>
    <t>CUST0374</t>
  </si>
  <si>
    <t>CUST0433</t>
  </si>
  <si>
    <t>CUST0451</t>
  </si>
  <si>
    <t>CUST0390</t>
  </si>
  <si>
    <t>CUST0088</t>
  </si>
  <si>
    <t>CUST0502</t>
  </si>
  <si>
    <t>CUST0199</t>
  </si>
  <si>
    <t>CUST0519</t>
  </si>
  <si>
    <t>CUST0578</t>
  </si>
  <si>
    <t>CUST0558</t>
  </si>
  <si>
    <t>CUST0304</t>
  </si>
  <si>
    <t>CUST0869</t>
  </si>
  <si>
    <t>CUST0395</t>
  </si>
  <si>
    <t>CUST0231</t>
  </si>
  <si>
    <t>CUST0825</t>
  </si>
  <si>
    <t>CUST0364</t>
  </si>
  <si>
    <t>CUST0028</t>
  </si>
  <si>
    <t>CUST0621</t>
  </si>
  <si>
    <t>CUST0887</t>
  </si>
  <si>
    <t>CUST0229</t>
  </si>
  <si>
    <t>CUST0572</t>
  </si>
  <si>
    <t>CUST0880</t>
  </si>
  <si>
    <t>CUST0323</t>
  </si>
  <si>
    <t>CUST0542</t>
  </si>
  <si>
    <t>CUST0330</t>
  </si>
  <si>
    <t>CUST0152</t>
  </si>
  <si>
    <t>CUST0354</t>
  </si>
  <si>
    <t>CUST0529</t>
  </si>
  <si>
    <t>CUST0299</t>
  </si>
  <si>
    <t>CUST0069</t>
  </si>
  <si>
    <t>CUST0961</t>
  </si>
  <si>
    <t>CUST0700</t>
  </si>
  <si>
    <t>CUST0973</t>
  </si>
  <si>
    <t>CUST0941</t>
  </si>
  <si>
    <t>CUST0810</t>
  </si>
  <si>
    <t>CUST0977</t>
  </si>
  <si>
    <t>CUST0531</t>
  </si>
  <si>
    <t>CUST0986</t>
  </si>
  <si>
    <t>CUST0188</t>
  </si>
  <si>
    <t>CUST0930</t>
  </si>
  <si>
    <t>CUST0156</t>
  </si>
  <si>
    <t>CUST0120</t>
  </si>
  <si>
    <t>CUST0845</t>
  </si>
  <si>
    <t>CUST0089</t>
  </si>
  <si>
    <t>CUST0602</t>
  </si>
  <si>
    <t>CUST0691</t>
  </si>
  <si>
    <t>CUST0086</t>
  </si>
  <si>
    <t>CUST0651</t>
  </si>
  <si>
    <t>CUST0103</t>
  </si>
  <si>
    <t>CUST0804</t>
  </si>
  <si>
    <t>CUST0493</t>
  </si>
  <si>
    <t>CUST0024</t>
  </si>
  <si>
    <t>CUST0205</t>
  </si>
  <si>
    <t>CUST0114</t>
  </si>
  <si>
    <t>CUST0889</t>
  </si>
  <si>
    <t>CUST0009</t>
  </si>
  <si>
    <t>CUST0257</t>
  </si>
  <si>
    <t>CUST0302</t>
  </si>
  <si>
    <t>CUST0658</t>
  </si>
  <si>
    <t>CUST0031</t>
  </si>
  <si>
    <t>CUST0911</t>
  </si>
  <si>
    <t>CUST0127</t>
  </si>
  <si>
    <t>CUST0662</t>
  </si>
  <si>
    <t>CUST0160</t>
  </si>
  <si>
    <t>CUST0027</t>
  </si>
  <si>
    <t>CUST0972</t>
  </si>
  <si>
    <t>CUST0357</t>
  </si>
  <si>
    <t>CUST0609</t>
  </si>
  <si>
    <t>CUST0676</t>
  </si>
  <si>
    <t>CUST0288</t>
  </si>
  <si>
    <t>CUST0281</t>
  </si>
  <si>
    <t>CUST0184</t>
  </si>
  <si>
    <t>CUST0654</t>
  </si>
  <si>
    <t>CUST0018</t>
  </si>
  <si>
    <t>CUST0077</t>
  </si>
  <si>
    <t>CUST0987</t>
  </si>
  <si>
    <t>CUST0822</t>
  </si>
  <si>
    <t>CUST0060</t>
  </si>
  <si>
    <t>CUST0891</t>
  </si>
  <si>
    <t>CUST0534</t>
  </si>
  <si>
    <t>CUST0174</t>
  </si>
  <si>
    <t>CUST0849</t>
  </si>
  <si>
    <t>CUST0752</t>
  </si>
  <si>
    <t>CUST0612</t>
  </si>
  <si>
    <t>CUST0854</t>
  </si>
  <si>
    <t>CUST0533</t>
  </si>
  <si>
    <t>CUST0543</t>
  </si>
  <si>
    <t>CUST0594</t>
  </si>
  <si>
    <t>CUST0882</t>
  </si>
  <si>
    <t>CUST0518</t>
  </si>
  <si>
    <t>CUST0475</t>
  </si>
  <si>
    <t>CUST0202</t>
  </si>
  <si>
    <t>CUST0756</t>
  </si>
  <si>
    <t>CUST0739</t>
  </si>
  <si>
    <t>CUST0459</t>
  </si>
  <si>
    <t>CUST0704</t>
  </si>
  <si>
    <t>CUST0180</t>
  </si>
  <si>
    <t>CUST0490</t>
  </si>
  <si>
    <t>CUST0571</t>
  </si>
  <si>
    <t>CUST0665</t>
  </si>
  <si>
    <t>CUST0861</t>
  </si>
  <si>
    <t>CUST0397</t>
  </si>
  <si>
    <t>CUST0920</t>
  </si>
  <si>
    <t>CUST0645</t>
  </si>
  <si>
    <t>CUST0786</t>
  </si>
  <si>
    <t>CUST0688</t>
  </si>
  <si>
    <t>CUST0095</t>
  </si>
  <si>
    <t>CUST0414</t>
  </si>
  <si>
    <t>CUST0666</t>
  </si>
  <si>
    <t>CUST0317</t>
  </si>
  <si>
    <t>CUST0446</t>
  </si>
  <si>
    <t>CUST0225</t>
  </si>
  <si>
    <t>CUST0538</t>
  </si>
  <si>
    <t>CUST0879</t>
  </si>
  <si>
    <t>CUST0596</t>
  </si>
  <si>
    <t>CUST0724</t>
  </si>
  <si>
    <t>CUST0893</t>
  </si>
  <si>
    <t>CUST0080</t>
  </si>
  <si>
    <t>CUST0795</t>
  </si>
  <si>
    <t>CUST0827</t>
  </si>
  <si>
    <t>CUST0890</t>
  </si>
  <si>
    <t>CUST0130</t>
  </si>
  <si>
    <t>CUST0171</t>
  </si>
  <si>
    <t>CUST0046</t>
  </si>
  <si>
    <t>CUST0731</t>
  </si>
  <si>
    <t>CUST0659</t>
  </si>
  <si>
    <t>CUST0847</t>
  </si>
  <si>
    <t>CUST0113</t>
  </si>
  <si>
    <t>CUST0255</t>
  </si>
  <si>
    <t>CUST0106</t>
  </si>
  <si>
    <t>CUST0327</t>
  </si>
  <si>
    <t>CUST0426</t>
  </si>
  <si>
    <t>CUST0981</t>
  </si>
  <si>
    <t>CUST0670</t>
  </si>
  <si>
    <t>CUST0350</t>
  </si>
  <si>
    <t>CUST0664</t>
  </si>
  <si>
    <t>CUST0332</t>
  </si>
  <si>
    <t>CUST0689</t>
  </si>
  <si>
    <t>CUST0642</t>
  </si>
  <si>
    <t>CUST0970</t>
  </si>
  <si>
    <t>CUST0458</t>
  </si>
  <si>
    <t>CUST0960</t>
  </si>
  <si>
    <t>CUST0564</t>
  </si>
  <si>
    <t>CUST0791</t>
  </si>
  <si>
    <t>CUST0210</t>
  </si>
  <si>
    <t>CUST0769</t>
  </si>
  <si>
    <t>CUST0740</t>
  </si>
  <si>
    <t>CUST0580</t>
  </si>
  <si>
    <t>CUST0728</t>
  </si>
  <si>
    <t>CUST0321</t>
  </si>
  <si>
    <t>CUST0823</t>
  </si>
  <si>
    <t>CUST0807</t>
  </si>
  <si>
    <t>CUST0640</t>
  </si>
  <si>
    <t>CUST0565</t>
  </si>
  <si>
    <t>CUST0656</t>
  </si>
  <si>
    <t>CUST0066</t>
  </si>
  <si>
    <t>CUST0068</t>
  </si>
  <si>
    <t>CUST0447</t>
  </si>
  <si>
    <t>CUST0389</t>
  </si>
  <si>
    <t>CUST0996</t>
  </si>
  <si>
    <t>CUST0484</t>
  </si>
  <si>
    <t>CUST0761</t>
  </si>
  <si>
    <t>CUST0699</t>
  </si>
  <si>
    <t>CUST0674</t>
  </si>
  <si>
    <t>CUST0884</t>
  </si>
  <si>
    <t>CUST0149</t>
  </si>
  <si>
    <t>CUST0110</t>
  </si>
  <si>
    <t>CUST0567</t>
  </si>
  <si>
    <t>CUST0221</t>
  </si>
  <si>
    <t>CUST0706</t>
  </si>
  <si>
    <t>CUST0648</t>
  </si>
  <si>
    <t>CUST0329</t>
  </si>
  <si>
    <t>CUST0100</t>
  </si>
  <si>
    <t>CUST0379</t>
  </si>
  <si>
    <t>CUST0289</t>
  </si>
  <si>
    <t>CUST0036</t>
  </si>
  <si>
    <t>CUST0050</t>
  </si>
  <si>
    <t>CUST0121</t>
  </si>
  <si>
    <t>CUST0917</t>
  </si>
  <si>
    <t>CUST0819</t>
  </si>
  <si>
    <t>CUST0094</t>
  </si>
  <si>
    <t>CUST0574</t>
  </si>
  <si>
    <t>CUST0368</t>
  </si>
  <si>
    <t>CUST0369</t>
  </si>
  <si>
    <t>CUST0062</t>
  </si>
  <si>
    <t>CUST0985</t>
  </si>
  <si>
    <t>CUST0668</t>
  </si>
  <si>
    <t>CUST0215</t>
  </si>
  <si>
    <t>CUST0569</t>
  </si>
  <si>
    <t>CUST0101</t>
  </si>
  <si>
    <t>CUST0727</t>
  </si>
  <si>
    <t>CUST0743</t>
  </si>
  <si>
    <t>CUST0998</t>
  </si>
  <si>
    <t>CUST0407</t>
  </si>
  <si>
    <t>CUST0953</t>
  </si>
  <si>
    <t>CUST0381</t>
  </si>
  <si>
    <t>CUST0951</t>
  </si>
  <si>
    <t>CUST0167</t>
  </si>
  <si>
    <t>CUST0788</t>
  </si>
  <si>
    <t>CUST0222</t>
  </si>
  <si>
    <t>CUST0844</t>
  </si>
  <si>
    <t>CUST0487</t>
  </si>
  <si>
    <t>CUST0226</t>
  </si>
  <si>
    <t>CUST0265</t>
  </si>
  <si>
    <t>CUST0107</t>
  </si>
  <si>
    <t>CUST0033</t>
  </si>
  <si>
    <t>CUST0618</t>
  </si>
  <si>
    <t>CUST0939</t>
  </si>
  <si>
    <t>CUST0927</t>
  </si>
  <si>
    <t>CUST0544</t>
  </si>
  <si>
    <t>CUST0749</t>
  </si>
  <si>
    <t>CUST0821</t>
  </si>
  <si>
    <t>CUST0546</t>
  </si>
  <si>
    <t>CUST0504</t>
  </si>
  <si>
    <t>CUST0454</t>
  </si>
  <si>
    <t>CUST0903</t>
  </si>
  <si>
    <t>CUST0587</t>
  </si>
  <si>
    <t>CUST0971</t>
  </si>
  <si>
    <t>CUST0250</t>
  </si>
  <si>
    <t>CUST0561</t>
  </si>
  <si>
    <t>CUST0805</t>
  </si>
  <si>
    <t>CUST0863</t>
  </si>
  <si>
    <t>CUST0770</t>
  </si>
  <si>
    <t>CUST0581</t>
  </si>
  <si>
    <t>CUST0469</t>
  </si>
  <si>
    <t>CUST0428</t>
  </si>
  <si>
    <t>CUST0111</t>
  </si>
  <si>
    <t>CUST0104</t>
  </si>
  <si>
    <t>CUST0734</t>
  </si>
  <si>
    <t>CUST0365</t>
  </si>
  <si>
    <t>CUST0921</t>
  </si>
  <si>
    <t>CUST0267</t>
  </si>
  <si>
    <t>CUST0203</t>
  </si>
  <si>
    <t>CUST0378</t>
  </si>
  <si>
    <t>CUST0450</t>
  </si>
  <si>
    <t>CUST0102</t>
  </si>
  <si>
    <t>CUST0230</t>
  </si>
  <si>
    <t>CUST0319</t>
  </si>
  <si>
    <t>CUST0371</t>
  </si>
  <si>
    <t>CUST0025</t>
  </si>
  <si>
    <t>CUST0736</t>
  </si>
  <si>
    <t>CUST0312</t>
  </si>
  <si>
    <t>CUST0802</t>
  </si>
  <si>
    <t>CUST0134</t>
  </si>
  <si>
    <t>CUST0876</t>
  </si>
  <si>
    <t>CUST0474</t>
  </si>
  <si>
    <t>CUST0677</t>
  </si>
  <si>
    <t>CUST0616</t>
  </si>
  <si>
    <t>CUST0192</t>
  </si>
  <si>
    <t>CUST0030</t>
  </si>
  <si>
    <t>CUST0547</t>
  </si>
  <si>
    <t>CUST0886</t>
  </si>
  <si>
    <t>CUST0826</t>
  </si>
  <si>
    <t>CUST0615</t>
  </si>
  <si>
    <t>CUST0112</t>
  </si>
  <si>
    <t>CUST0672</t>
  </si>
  <si>
    <t>CUST0607</t>
  </si>
  <si>
    <t>CUST0457</t>
  </si>
  <si>
    <t>CUST0179</t>
  </si>
  <si>
    <t>CUST0723</t>
  </si>
  <si>
    <t>CUST0789</t>
  </si>
  <si>
    <t>CUST0043</t>
  </si>
  <si>
    <t>CUST0680</t>
  </si>
  <si>
    <t>CUST0552</t>
  </si>
  <si>
    <t>CUST0857</t>
  </si>
  <si>
    <t>CUST0246</t>
  </si>
  <si>
    <t>CUST0708</t>
  </si>
  <si>
    <t>CUST0922</t>
  </si>
  <si>
    <t>CUST0721</t>
  </si>
  <si>
    <t>CUST0170</t>
  </si>
  <si>
    <t>CUST0187</t>
  </si>
  <si>
    <t>CUST0412</t>
  </si>
  <si>
    <t>CUST1000</t>
  </si>
  <si>
    <t>CUST0703</t>
  </si>
  <si>
    <t>CUST0045</t>
  </si>
  <si>
    <t>CUST0563</t>
  </si>
  <si>
    <t>CUST0273</t>
  </si>
  <si>
    <t>CUST0015</t>
  </si>
  <si>
    <t>CUST0436</t>
  </si>
  <si>
    <t>CUST0406</t>
  </si>
  <si>
    <t>CUST0214</t>
  </si>
  <si>
    <t>CUST0360</t>
  </si>
  <si>
    <t>CUST0293</t>
  </si>
  <si>
    <t>CUST0509</t>
  </si>
  <si>
    <t>CUST0783</t>
  </si>
  <si>
    <t>CUST0274</t>
  </si>
  <si>
    <t>CUST0586</t>
  </si>
  <si>
    <t>CUST0883</t>
  </si>
  <si>
    <t>CUST0133</t>
  </si>
  <si>
    <t>CUST0154</t>
  </si>
  <si>
    <t>CUST0916</t>
  </si>
  <si>
    <t>CUST0995</t>
  </si>
  <si>
    <t>CUST0997</t>
  </si>
  <si>
    <t>CUST0468</t>
  </si>
  <si>
    <t>CUST0871</t>
  </si>
  <si>
    <t>CUST0936</t>
  </si>
  <si>
    <t>CUST0497</t>
  </si>
  <si>
    <t>CUST0553</t>
  </si>
  <si>
    <t>CUST0583</t>
  </si>
  <si>
    <t>CUST0150</t>
  </si>
  <si>
    <t>CUST0914</t>
  </si>
  <si>
    <t>CUST0003</t>
  </si>
  <si>
    <t>CUST0252</t>
  </si>
  <si>
    <t>CUST0211</t>
  </si>
  <si>
    <t>CUST0738</t>
  </si>
  <si>
    <t>CUST0462</t>
  </si>
  <si>
    <t>CUST0401</t>
  </si>
  <si>
    <t>CUST0717</t>
  </si>
  <si>
    <t>CUST0536</t>
  </si>
  <si>
    <t>CUST0209</t>
  </si>
  <si>
    <t>CUST0881</t>
  </si>
  <si>
    <t>CUST0838</t>
  </si>
  <si>
    <t>CUST0632</t>
  </si>
  <si>
    <t>CUST0725</t>
  </si>
  <si>
    <t>CUST0489</t>
  </si>
  <si>
    <t>CUST0478</t>
  </si>
  <si>
    <t>CUST0550</t>
  </si>
  <si>
    <t>CUST0994</t>
  </si>
  <si>
    <t>CUST0176</t>
  </si>
  <si>
    <t>CUST0644</t>
  </si>
  <si>
    <t>CUST0343</t>
  </si>
  <si>
    <t>CUST0831</t>
  </si>
  <si>
    <t>CUST0492</t>
  </si>
  <si>
    <t>CUST0608</t>
  </si>
  <si>
    <t>CUST0235</t>
  </si>
  <si>
    <t>CUST0456</t>
  </si>
  <si>
    <t>CUST0057</t>
  </si>
  <si>
    <t>CUST0124</t>
  </si>
  <si>
    <t>CUST0853</t>
  </si>
  <si>
    <t>CUST0494</t>
  </si>
  <si>
    <t>CUST0035</t>
  </si>
  <si>
    <t>CUST0042</t>
  </si>
  <si>
    <t>CUST0808</t>
  </si>
  <si>
    <t>CUST0090</t>
  </si>
  <si>
    <t>CUST0815</t>
  </si>
  <si>
    <t>CUST0377</t>
  </si>
  <si>
    <t>CUST0628</t>
  </si>
  <si>
    <t>CUST0758</t>
  </si>
  <si>
    <t>CUST0328</t>
  </si>
  <si>
    <t>CUST0143</t>
  </si>
  <si>
    <t>CUST0834</t>
  </si>
  <si>
    <t>CUST0391</t>
  </si>
  <si>
    <t>CUST0768</t>
  </si>
  <si>
    <t>CUST0637</t>
  </si>
  <si>
    <t>CUST0955</t>
  </si>
  <si>
    <t>CUST0942</t>
  </si>
  <si>
    <t>CUST0577</t>
  </si>
  <si>
    <t>CUST0331</t>
  </si>
  <si>
    <t>CUST0001</t>
  </si>
  <si>
    <t>CUST0481</t>
  </si>
  <si>
    <t>CUST0115</t>
  </si>
  <si>
    <t>CUST0002</t>
  </si>
  <si>
    <t>CUST0132</t>
  </si>
  <si>
    <t>CUST0480</t>
  </si>
  <si>
    <t>CUST0745</t>
  </si>
  <si>
    <t>CUST0859</t>
  </si>
  <si>
    <t>CUST0125</t>
  </si>
  <si>
    <t>CUST0554</t>
  </si>
  <si>
    <t>CUST0937</t>
  </si>
  <si>
    <t>CUST0303</t>
  </si>
  <si>
    <t>CUST0906</t>
  </si>
  <si>
    <t>CUST0264</t>
  </si>
  <si>
    <t>CUST0482</t>
  </si>
  <si>
    <t>CUST0259</t>
  </si>
  <si>
    <t>CUST0549</t>
  </si>
  <si>
    <t>CUST0052</t>
  </si>
  <si>
    <t>CUST0201</t>
  </si>
  <si>
    <t>CUST0070</t>
  </si>
  <si>
    <t>CUST0716</t>
  </si>
  <si>
    <t>CUST0634</t>
  </si>
  <si>
    <t>CUST0692</t>
  </si>
  <si>
    <t>CUST0499</t>
  </si>
  <si>
    <t>CUST0598</t>
  </si>
  <si>
    <t>CUST0585</t>
  </si>
  <si>
    <t>CUST0017</t>
  </si>
  <si>
    <t>CUST0954</t>
  </si>
  <si>
    <t>CUST0228</t>
  </si>
  <si>
    <t>CUST0624</t>
  </si>
  <si>
    <t>CUST0751</t>
  </si>
  <si>
    <t>CUST0006</t>
  </si>
  <si>
    <t>CUST0220</t>
  </si>
  <si>
    <t>CUST0841</t>
  </si>
  <si>
    <t>CUST0525</t>
  </si>
  <si>
    <t>CUST0698</t>
  </si>
  <si>
    <t>CUST0358</t>
  </si>
  <si>
    <t>CUST0129</t>
  </si>
  <si>
    <t>CUST0072</t>
  </si>
  <si>
    <t>CUST0277</t>
  </si>
  <si>
    <t>CUST0765</t>
  </si>
  <si>
    <t>CUST0384</t>
  </si>
  <si>
    <t>CUST0968</t>
  </si>
  <si>
    <t>CUST0730</t>
  </si>
  <si>
    <t>CUST0314</t>
  </si>
  <si>
    <t>CUST0779</t>
  </si>
  <si>
    <t>CUST0864</t>
  </si>
  <si>
    <t>CUST0878</t>
  </si>
  <si>
    <t>CUST0568</t>
  </si>
  <si>
    <t>CUST0004</t>
  </si>
  <si>
    <t>CUST0524</t>
  </si>
  <si>
    <t>CUST0850</t>
  </si>
  <si>
    <t>CUST0726</t>
  </si>
  <si>
    <t>CUST0777</t>
  </si>
  <si>
    <t>CUST0576</t>
  </si>
  <si>
    <t>CUST0806</t>
  </si>
  <si>
    <t>CUST0392</t>
  </si>
  <si>
    <t>CUST0975</t>
  </si>
  <si>
    <t>CUST0570</t>
  </si>
  <si>
    <t>Delivery SLA (Days)</t>
  </si>
  <si>
    <t>Late Threshold</t>
  </si>
  <si>
    <t>SLA_Target Days</t>
  </si>
  <si>
    <t>SLA_Met_Status</t>
  </si>
  <si>
    <t>Satisfaction Feedback_Status</t>
  </si>
  <si>
    <t>Customer Age_Group</t>
  </si>
  <si>
    <t>UNKNOWN</t>
  </si>
  <si>
    <t>Adult</t>
  </si>
  <si>
    <t>Youth</t>
  </si>
  <si>
    <t>Senior</t>
  </si>
  <si>
    <t>Child</t>
  </si>
  <si>
    <t>Non-Straight Through Rate</t>
  </si>
  <si>
    <t>At-Risk Transaction Rate</t>
  </si>
  <si>
    <t>Average of Satisfaction Score</t>
  </si>
  <si>
    <t>Grand Total</t>
  </si>
  <si>
    <t>Average of Days for Delivery</t>
  </si>
  <si>
    <t>Percentage of Feedback Missing</t>
  </si>
  <si>
    <t>Total Sales</t>
  </si>
  <si>
    <t>Count of Customer ID</t>
  </si>
  <si>
    <t>Customer Service Interaction_Clean</t>
  </si>
  <si>
    <t>FEEDBACK MISSING</t>
  </si>
  <si>
    <t>MISSING DELIVERY STATUS</t>
  </si>
  <si>
    <t xml:space="preserve">Percentage of SLA Failure </t>
  </si>
  <si>
    <t>Average of Order Value</t>
  </si>
  <si>
    <t>Volume of Customer</t>
  </si>
  <si>
    <t>SLA met</t>
  </si>
  <si>
    <t>SLA fail : late delivery</t>
  </si>
  <si>
    <t>delivery time missing / no SLA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</si>
</sst>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809]* #,##0.00_-;\-[$$-4809]* #,##0.00_-;_-[$$-4809]* &quot;-&quot;??_-;_-@_-"/>
    <numFmt numFmtId="165" formatCode="_-[$$-4809]* #,##0_-;\-[$$-4809]* #,##0_-;_-[$$-4809]* &quot;-&quot;_-;_-@_-"/>
  </numFmts>
  <fonts count="3" x14ac:knownFonts="1">
    <font>
      <sz val="12"/>
      <color theme="1"/>
      <name val="Aptos Narrow"/>
      <family val="2"/>
      <scheme val="minor"/>
    </font>
    <font>
      <sz val="12"/>
      <color theme="1"/>
      <name val="Aptos Narrow"/>
      <family val="2"/>
      <scheme val="minor"/>
    </font>
    <font>
      <sz val="8"/>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8">
    <xf numFmtId="0" fontId="0" fillId="0" borderId="0" xfId="0"/>
    <xf numFmtId="9" fontId="0" fillId="0" borderId="0" xfId="1" applyFont="1"/>
    <xf numFmtId="0" fontId="0" fillId="0" borderId="0" xfId="0" pivotButton="1"/>
    <xf numFmtId="2" fontId="0" fillId="0" borderId="0" xfId="0" applyNumberFormat="1"/>
    <xf numFmtId="164" fontId="0" fillId="0" borderId="0" xfId="0" applyNumberFormat="1"/>
    <xf numFmtId="44" fontId="0" fillId="0" borderId="0" xfId="0" applyNumberFormat="1"/>
    <xf numFmtId="9" fontId="0" fillId="0" borderId="0" xfId="0" applyNumberFormat="1"/>
    <xf numFmtId="165" fontId="0" fillId="0" borderId="0" xfId="0" applyNumberFormat="1"/>
  </cellXfs>
  <cellStyles count="2">
    <cellStyle name="Normal" xfId="0" builtinId="0"/>
    <cellStyle name="Per cent" xfId="1" builtinId="5"/>
  </cellStyles>
  <dxfs count="25">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numFmt numFmtId="13" formatCode="0%"/>
    </dxf>
    <dxf>
      <numFmt numFmtId="0" formatCode="General"/>
    </dxf>
    <dxf>
      <numFmt numFmtId="0" formatCode="General"/>
    </dxf>
    <dxf>
      <numFmt numFmtId="0" formatCode="General"/>
    </dxf>
    <dxf>
      <numFmt numFmtId="0" formatCode="General"/>
    </dxf>
    <dxf>
      <numFmt numFmtId="13" formatCode="0%"/>
    </dxf>
    <dxf>
      <numFmt numFmtId="2" formatCode="0.00"/>
    </dxf>
    <dxf>
      <numFmt numFmtId="0" formatCode="General"/>
    </dxf>
    <dxf>
      <numFmt numFmtId="0" formatCode="General"/>
    </dxf>
    <dxf>
      <numFmt numFmtId="0" formatCode="General"/>
    </dxf>
    <dxf>
      <numFmt numFmtId="0" formatCode="General"/>
    </dxf>
    <dxf>
      <numFmt numFmtId="34" formatCode="_(&quot;$&quot;* #,##0.00_);_(&quot;$&quot;* \(#,##0.00\);_(&quot;$&quot;* &quot;-&quot;??_);_(@_)"/>
    </dxf>
    <dxf>
      <numFmt numFmtId="2" formatCode="0.00"/>
    </dxf>
    <dxf>
      <numFmt numFmtId="2" formatCode="0.00"/>
    </dxf>
    <dxf>
      <numFmt numFmtId="2" formatCode="0.00"/>
    </dxf>
  </dxfs>
  <tableStyles count="0" defaultTableStyle="TableStyleMedium2" defaultPivotStyle="PivotStyleLight16"/>
  <colors>
    <mruColors>
      <color rgb="FFA2AFBC"/>
      <color rgb="FFC05C27"/>
      <color rgb="FF1C5B96"/>
      <color rgb="FFEA71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[Sales&amp;Operational_Performance_Dashboard.xlsm]AvgOrderValuevsVol!PivotTable3</c:name>
    <c:fmtId val="5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pivotFmt>
      <c:pivotFmt>
        <c:idx val="11"/>
        <c:spPr>
          <a:solidFill>
            <a:schemeClr val="accent1">
              <a:alpha val="85000"/>
            </a:schemeClr>
          </a:solidFill>
          <a:ln w="9525" cap="flat" cmpd="sng" algn="ctr">
            <a:solidFill>
              <a:schemeClr val="lt1">
                <a:alpha val="50000"/>
              </a:schemeClr>
            </a:solidFill>
            <a:round/>
          </a:ln>
          <a:effectLst/>
        </c:spPr>
      </c:pivotFmt>
      <c:pivotFmt>
        <c:idx val="12"/>
        <c:spPr>
          <a:solidFill>
            <a:schemeClr val="accent1">
              <a:alpha val="85000"/>
            </a:schemeClr>
          </a:solidFill>
          <a:ln w="9525" cap="flat" cmpd="sng" algn="ctr">
            <a:solidFill>
              <a:schemeClr val="lt1">
                <a:alpha val="50000"/>
              </a:schemeClr>
            </a:solidFill>
            <a:round/>
          </a:ln>
          <a:effectLst/>
        </c:spPr>
      </c:pivotFmt>
      <c:pivotFmt>
        <c:idx val="13"/>
        <c:spPr>
          <a:solidFill>
            <a:schemeClr val="accent1">
              <a:alpha val="85000"/>
            </a:schemeClr>
          </a:solidFill>
          <a:ln w="9525" cap="flat" cmpd="sng" algn="ctr">
            <a:solidFill>
              <a:schemeClr val="lt1">
                <a:alpha val="50000"/>
              </a:schemeClr>
            </a:solidFill>
            <a:round/>
          </a:ln>
          <a:effectLst/>
        </c:spPr>
      </c:pivotFmt>
      <c:pivotFmt>
        <c:idx val="14"/>
        <c:spPr>
          <a:solidFill>
            <a:schemeClr val="accent1">
              <a:alpha val="85000"/>
            </a:schemeClr>
          </a:solidFill>
          <a:ln w="9525" cap="flat" cmpd="sng" algn="ctr">
            <a:solidFill>
              <a:schemeClr val="lt1">
                <a:alpha val="50000"/>
              </a:schemeClr>
            </a:solidFill>
            <a:round/>
          </a:ln>
          <a:effectLst/>
        </c:spPr>
      </c:pivotFmt>
      <c:pivotFmt>
        <c:idx val="15"/>
        <c:spPr>
          <a:solidFill>
            <a:schemeClr val="accent1">
              <a:alpha val="85000"/>
            </a:schemeClr>
          </a:solidFill>
          <a:ln w="9525" cap="flat" cmpd="sng" algn="ctr">
            <a:solidFill>
              <a:schemeClr val="lt1">
                <a:alpha val="50000"/>
              </a:schemeClr>
            </a:solidFill>
            <a:round/>
          </a:ln>
          <a:effectLst/>
        </c:spPr>
      </c:pivotFmt>
    </c:pivotFmts>
    <c:plotArea>
      <c:layout/>
      <c:barChart>
        <c:barDir val="col"/>
        <c:grouping val="clustered"/>
        <c:varyColors val="0"/>
        <c:ser>
          <c:idx val="0"/>
          <c:order val="0"/>
          <c:tx>
            <c:strRef>
              <c:f>AvgOrderValuevsVol!$B$1</c:f>
              <c:strCache>
                <c:ptCount val="1"/>
                <c:pt idx="0">
                  <c:v>Average of Order Value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AvgOrderValuevsVol!$A$2:$A$6</c:f>
              <c:strCache>
                <c:ptCount val="5"/>
                <c:pt idx="0">
                  <c:v>Books</c:v>
                </c:pt>
                <c:pt idx="1">
                  <c:v>Clothing</c:v>
                </c:pt>
                <c:pt idx="2">
                  <c:v>Electronics</c:v>
                </c:pt>
                <c:pt idx="3">
                  <c:v>Home Goods</c:v>
                </c:pt>
                <c:pt idx="4">
                  <c:v>UNCATEGORISED</c:v>
                </c:pt>
              </c:strCache>
            </c:strRef>
          </c:cat>
          <c:val>
            <c:numRef>
              <c:f>AvgOrderValuevsVol!$B$2:$B$6</c:f>
              <c:numCache>
                <c:formatCode>_("$"* #,##0.00_);_("$"* \(#,##0.00\);_("$"* "-"??_);_(@_)</c:formatCode>
                <c:ptCount val="5"/>
                <c:pt idx="0">
                  <c:v>144.01184000000006</c:v>
                </c:pt>
                <c:pt idx="1">
                  <c:v>483.76015000000001</c:v>
                </c:pt>
                <c:pt idx="2">
                  <c:v>391.49933035714287</c:v>
                </c:pt>
                <c:pt idx="3">
                  <c:v>428.17179611650488</c:v>
                </c:pt>
                <c:pt idx="4">
                  <c:v>110.38314814814818</c:v>
                </c:pt>
              </c:numCache>
            </c:numRef>
          </c:val>
          <c:extLst>
            <c:ext xmlns:c16="http://schemas.microsoft.com/office/drawing/2014/chart" uri="{C3380CC4-5D6E-409C-BE32-E72D297353CC}">
              <c16:uniqueId val="{00000006-CEB1-C44B-89BA-D3DBD26DBE77}"/>
            </c:ext>
          </c:extLst>
        </c:ser>
        <c:ser>
          <c:idx val="1"/>
          <c:order val="1"/>
          <c:tx>
            <c:strRef>
              <c:f>AvgOrderValuevsVol!$C$1</c:f>
              <c:strCache>
                <c:ptCount val="1"/>
                <c:pt idx="0">
                  <c:v>Volume of Customer</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AvgOrderValuevsVol!$A$2:$A$6</c:f>
              <c:strCache>
                <c:ptCount val="5"/>
                <c:pt idx="0">
                  <c:v>Books</c:v>
                </c:pt>
                <c:pt idx="1">
                  <c:v>Clothing</c:v>
                </c:pt>
                <c:pt idx="2">
                  <c:v>Electronics</c:v>
                </c:pt>
                <c:pt idx="3">
                  <c:v>Home Goods</c:v>
                </c:pt>
                <c:pt idx="4">
                  <c:v>UNCATEGORISED</c:v>
                </c:pt>
              </c:strCache>
            </c:strRef>
          </c:cat>
          <c:val>
            <c:numRef>
              <c:f>AvgOrderValuevsVol!$C$2:$C$6</c:f>
              <c:numCache>
                <c:formatCode>General</c:formatCode>
                <c:ptCount val="5"/>
                <c:pt idx="0">
                  <c:v>250</c:v>
                </c:pt>
                <c:pt idx="1">
                  <c:v>200</c:v>
                </c:pt>
                <c:pt idx="2">
                  <c:v>224</c:v>
                </c:pt>
                <c:pt idx="3">
                  <c:v>206</c:v>
                </c:pt>
                <c:pt idx="4">
                  <c:v>54</c:v>
                </c:pt>
              </c:numCache>
            </c:numRef>
          </c:val>
          <c:extLst>
            <c:ext xmlns:c16="http://schemas.microsoft.com/office/drawing/2014/chart" uri="{C3380CC4-5D6E-409C-BE32-E72D297353CC}">
              <c16:uniqueId val="{00000007-CEB1-C44B-89BA-D3DBD26DBE77}"/>
            </c:ext>
          </c:extLst>
        </c:ser>
        <c:dLbls>
          <c:dLblPos val="inEnd"/>
          <c:showLegendKey val="0"/>
          <c:showVal val="1"/>
          <c:showCatName val="0"/>
          <c:showSerName val="0"/>
          <c:showPercent val="0"/>
          <c:showBubbleSize val="0"/>
        </c:dLbls>
        <c:gapWidth val="65"/>
        <c:axId val="1399134496"/>
        <c:axId val="1399265760"/>
      </c:barChart>
      <c:catAx>
        <c:axId val="139913449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tx2">
                    <a:lumMod val="90000"/>
                    <a:lumOff val="10000"/>
                  </a:schemeClr>
                </a:solidFill>
                <a:latin typeface="+mn-lt"/>
                <a:ea typeface="+mn-ea"/>
                <a:cs typeface="+mn-cs"/>
              </a:defRPr>
            </a:pPr>
            <a:endParaRPr lang="en-US"/>
          </a:p>
        </c:txPr>
        <c:crossAx val="1399265760"/>
        <c:crosses val="autoZero"/>
        <c:auto val="1"/>
        <c:lblAlgn val="ctr"/>
        <c:lblOffset val="100"/>
        <c:noMultiLvlLbl val="0"/>
      </c:catAx>
      <c:valAx>
        <c:axId val="1399265760"/>
        <c:scaling>
          <c:orientation val="minMax"/>
        </c:scaling>
        <c:delete val="1"/>
        <c:axPos val="l"/>
        <c:majorGridlines>
          <c:spPr>
            <a:ln w="9525" cap="flat" cmpd="sng" algn="ctr">
              <a:noFill/>
              <a:round/>
            </a:ln>
            <a:effectLst/>
          </c:spPr>
        </c:majorGridlines>
        <c:numFmt formatCode="General" sourceLinked="0"/>
        <c:majorTickMark val="none"/>
        <c:minorTickMark val="none"/>
        <c:tickLblPos val="nextTo"/>
        <c:crossAx val="1399134496"/>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1" i="0" u="none" strike="noStrike" kern="1200" baseline="0">
              <a:solidFill>
                <a:schemeClr val="tx2">
                  <a:lumMod val="90000"/>
                  <a:lumOff val="1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[Sales&amp;Operational_Performance_Dashboard.xlsm]AvgDelivery!PivotTable2</c:name>
    <c:fmtId val="15"/>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AvgDelivery!$B$1</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AvgDelivery!$A$2:$A$6</c:f>
              <c:strCache>
                <c:ptCount val="5"/>
                <c:pt idx="0">
                  <c:v>UNCATEGORISED</c:v>
                </c:pt>
                <c:pt idx="1">
                  <c:v>Home Goods</c:v>
                </c:pt>
                <c:pt idx="2">
                  <c:v>Electronics</c:v>
                </c:pt>
                <c:pt idx="3">
                  <c:v>Clothing</c:v>
                </c:pt>
                <c:pt idx="4">
                  <c:v>Books</c:v>
                </c:pt>
              </c:strCache>
            </c:strRef>
          </c:cat>
          <c:val>
            <c:numRef>
              <c:f>AvgDelivery!$B$2:$B$6</c:f>
              <c:numCache>
                <c:formatCode>0.00</c:formatCode>
                <c:ptCount val="5"/>
                <c:pt idx="0">
                  <c:v>4.854166666666667</c:v>
                </c:pt>
                <c:pt idx="1">
                  <c:v>5.1709844559585489</c:v>
                </c:pt>
                <c:pt idx="2">
                  <c:v>5.1395348837209305</c:v>
                </c:pt>
                <c:pt idx="3">
                  <c:v>4.9734042553191493</c:v>
                </c:pt>
                <c:pt idx="4">
                  <c:v>5.1391304347826088</c:v>
                </c:pt>
              </c:numCache>
            </c:numRef>
          </c:val>
          <c:extLst>
            <c:ext xmlns:c16="http://schemas.microsoft.com/office/drawing/2014/chart" uri="{C3380CC4-5D6E-409C-BE32-E72D297353CC}">
              <c16:uniqueId val="{00000003-4D38-834C-A544-C673884F6E94}"/>
            </c:ext>
          </c:extLst>
        </c:ser>
        <c:dLbls>
          <c:dLblPos val="inEnd"/>
          <c:showLegendKey val="0"/>
          <c:showVal val="1"/>
          <c:showCatName val="0"/>
          <c:showSerName val="0"/>
          <c:showPercent val="0"/>
          <c:showBubbleSize val="0"/>
        </c:dLbls>
        <c:gapWidth val="65"/>
        <c:axId val="903758383"/>
        <c:axId val="903672511"/>
      </c:barChart>
      <c:catAx>
        <c:axId val="903758383"/>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tx2">
                    <a:lumMod val="90000"/>
                    <a:lumOff val="10000"/>
                  </a:schemeClr>
                </a:solidFill>
                <a:latin typeface="+mn-lt"/>
                <a:ea typeface="+mn-ea"/>
                <a:cs typeface="+mn-cs"/>
              </a:defRPr>
            </a:pPr>
            <a:endParaRPr lang="en-US"/>
          </a:p>
        </c:txPr>
        <c:crossAx val="903672511"/>
        <c:crosses val="autoZero"/>
        <c:auto val="1"/>
        <c:lblAlgn val="ctr"/>
        <c:lblOffset val="100"/>
        <c:noMultiLvlLbl val="0"/>
      </c:catAx>
      <c:valAx>
        <c:axId val="903672511"/>
        <c:scaling>
          <c:orientation val="minMax"/>
        </c:scaling>
        <c:delete val="1"/>
        <c:axPos val="b"/>
        <c:majorGridlines>
          <c:spPr>
            <a:ln w="9525" cap="flat" cmpd="sng" algn="ctr">
              <a:noFill/>
              <a:round/>
            </a:ln>
            <a:effectLst/>
          </c:spPr>
        </c:majorGridlines>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GB"/>
                  <a:t>Days</a:t>
                </a:r>
              </a:p>
            </c:rich>
          </c:tx>
          <c:layout>
            <c:manualLayout>
              <c:xMode val="edge"/>
              <c:yMode val="edge"/>
              <c:x val="0.48387423447069117"/>
              <c:y val="0.8925692621755614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00" sourceLinked="1"/>
        <c:majorTickMark val="none"/>
        <c:minorTickMark val="none"/>
        <c:tickLblPos val="nextTo"/>
        <c:crossAx val="903758383"/>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[Sales&amp;Operational_Performance_Dashboard.xlsm]AvgSatisfaction!PivotTable1</c:name>
    <c:fmtId val="14"/>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524942214583805E-2"/>
          <c:y val="0"/>
          <c:w val="0.89895011557083238"/>
          <c:h val="0.44772603557169116"/>
        </c:manualLayout>
      </c:layout>
      <c:barChart>
        <c:barDir val="col"/>
        <c:grouping val="clustered"/>
        <c:varyColors val="0"/>
        <c:ser>
          <c:idx val="0"/>
          <c:order val="0"/>
          <c:tx>
            <c:strRef>
              <c:f>AvgSatisfaction!$B$3</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AvgSatisfaction!$A$4:$A$9</c:f>
              <c:strCache>
                <c:ptCount val="5"/>
                <c:pt idx="0">
                  <c:v>Books</c:v>
                </c:pt>
                <c:pt idx="1">
                  <c:v>Clothing</c:v>
                </c:pt>
                <c:pt idx="2">
                  <c:v>Electronics</c:v>
                </c:pt>
                <c:pt idx="3">
                  <c:v>Home Goods</c:v>
                </c:pt>
                <c:pt idx="4">
                  <c:v>UNCATEGORISED</c:v>
                </c:pt>
              </c:strCache>
            </c:strRef>
          </c:cat>
          <c:val>
            <c:numRef>
              <c:f>AvgSatisfaction!$B$4:$B$9</c:f>
              <c:numCache>
                <c:formatCode>0.00</c:formatCode>
                <c:ptCount val="5"/>
                <c:pt idx="0">
                  <c:v>6.9198312236286919</c:v>
                </c:pt>
                <c:pt idx="1">
                  <c:v>7.105820105820106</c:v>
                </c:pt>
                <c:pt idx="2">
                  <c:v>7.0414746543778799</c:v>
                </c:pt>
                <c:pt idx="3">
                  <c:v>7.1487179487179491</c:v>
                </c:pt>
                <c:pt idx="4">
                  <c:v>7.215686274509804</c:v>
                </c:pt>
              </c:numCache>
            </c:numRef>
          </c:val>
          <c:extLst>
            <c:ext xmlns:c16="http://schemas.microsoft.com/office/drawing/2014/chart" uri="{C3380CC4-5D6E-409C-BE32-E72D297353CC}">
              <c16:uniqueId val="{00000000-6B99-114F-8D58-B415BD6F7DA8}"/>
            </c:ext>
          </c:extLst>
        </c:ser>
        <c:dLbls>
          <c:dLblPos val="inEnd"/>
          <c:showLegendKey val="0"/>
          <c:showVal val="1"/>
          <c:showCatName val="0"/>
          <c:showSerName val="0"/>
          <c:showPercent val="0"/>
          <c:showBubbleSize val="0"/>
        </c:dLbls>
        <c:gapWidth val="41"/>
        <c:axId val="265892127"/>
        <c:axId val="265893839"/>
      </c:barChart>
      <c:catAx>
        <c:axId val="2658921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lumMod val="90000"/>
                    <a:lumOff val="10000"/>
                  </a:schemeClr>
                </a:solidFill>
                <a:effectLst/>
                <a:latin typeface="+mn-lt"/>
                <a:ea typeface="+mn-ea"/>
                <a:cs typeface="+mn-cs"/>
              </a:defRPr>
            </a:pPr>
            <a:endParaRPr lang="en-US"/>
          </a:p>
        </c:txPr>
        <c:crossAx val="265893839"/>
        <c:crosses val="autoZero"/>
        <c:auto val="1"/>
        <c:lblAlgn val="ctr"/>
        <c:lblOffset val="100"/>
        <c:noMultiLvlLbl val="0"/>
      </c:catAx>
      <c:valAx>
        <c:axId val="265893839"/>
        <c:scaling>
          <c:orientation val="minMax"/>
        </c:scaling>
        <c:delete val="1"/>
        <c:axPos val="l"/>
        <c:numFmt formatCode="0.00" sourceLinked="1"/>
        <c:majorTickMark val="none"/>
        <c:minorTickMark val="none"/>
        <c:tickLblPos val="nextTo"/>
        <c:crossAx val="2658921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[Sales&amp;Operational_Performance_Dashboard.xlsm]FeedbackQuality!PivotTable5</c:name>
    <c:fmtId val="3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hade val="76000"/>
            </a:schemeClr>
          </a:solidFill>
          <a:ln w="19050">
            <a:solidFill>
              <a:schemeClr val="lt1"/>
            </a:solidFill>
          </a:ln>
          <a:effectLst/>
        </c:spPr>
      </c:pivotFmt>
      <c:pivotFmt>
        <c:idx val="19"/>
        <c:spPr>
          <a:solidFill>
            <a:schemeClr val="accent1">
              <a:tint val="77000"/>
            </a:schemeClr>
          </a:solidFill>
          <a:ln w="19050">
            <a:solidFill>
              <a:schemeClr val="lt1"/>
            </a:solidFill>
          </a:ln>
          <a:effectLst/>
        </c:spPr>
      </c:pivotFmt>
    </c:pivotFmts>
    <c:plotArea>
      <c:layout/>
      <c:doughnutChart>
        <c:varyColors val="1"/>
        <c:ser>
          <c:idx val="0"/>
          <c:order val="0"/>
          <c:tx>
            <c:strRef>
              <c:f>FeedbackQuality!$B$1</c:f>
              <c:strCache>
                <c:ptCount val="1"/>
                <c:pt idx="0">
                  <c:v>Total</c:v>
                </c:pt>
              </c:strCache>
            </c:strRef>
          </c:tx>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9BF8-0A4D-BDBC-9C7BC22F69F9}"/>
              </c:ext>
            </c:extLst>
          </c:dPt>
          <c:dPt>
            <c:idx val="1"/>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3-9BF8-0A4D-BDBC-9C7BC22F69F9}"/>
              </c:ext>
            </c:extLst>
          </c:dPt>
          <c:cat>
            <c:strRef>
              <c:f>FeedbackQuality!$A$2:$A$3</c:f>
              <c:strCache>
                <c:ptCount val="2"/>
                <c:pt idx="0">
                  <c:v>FEEDBACK MISSING</c:v>
                </c:pt>
                <c:pt idx="1">
                  <c:v>OK</c:v>
                </c:pt>
              </c:strCache>
            </c:strRef>
          </c:cat>
          <c:val>
            <c:numRef>
              <c:f>FeedbackQuality!$B$2:$B$3</c:f>
              <c:numCache>
                <c:formatCode>0%</c:formatCode>
                <c:ptCount val="2"/>
                <c:pt idx="0">
                  <c:v>4.8179871520342615E-2</c:v>
                </c:pt>
                <c:pt idx="1">
                  <c:v>0.95182012847965736</c:v>
                </c:pt>
              </c:numCache>
            </c:numRef>
          </c:val>
          <c:extLst>
            <c:ext xmlns:c16="http://schemas.microsoft.com/office/drawing/2014/chart" uri="{C3380CC4-5D6E-409C-BE32-E72D297353CC}">
              <c16:uniqueId val="{00000007-04D9-E24F-936A-6005FE650F81}"/>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pivotSource>
    <c:name>[Sales&amp;Operational_Performance_Dashboard.xlsm]SLAstatus!PivotTable6</c:name>
    <c:fmtId val="69"/>
  </c:pivotSource>
  <c:chart>
    <c:autoTitleDeleted val="1"/>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hade val="65000"/>
            </a:schemeClr>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rgbClr val="C05C27"/>
          </a:solidFill>
          <a:ln w="19050">
            <a:solidFill>
              <a:schemeClr val="lt1"/>
            </a:solidFill>
          </a:ln>
          <a:effectLst/>
        </c:spPr>
      </c:pivotFmt>
    </c:pivotFmts>
    <c:plotArea>
      <c:layout/>
      <c:doughnutChart>
        <c:varyColors val="1"/>
        <c:ser>
          <c:idx val="0"/>
          <c:order val="0"/>
          <c:tx>
            <c:strRef>
              <c:f>SLAstatus!$B$1</c:f>
              <c:strCache>
                <c:ptCount val="1"/>
                <c:pt idx="0">
                  <c:v>Total</c:v>
                </c:pt>
              </c:strCache>
            </c:strRef>
          </c:tx>
          <c:dPt>
            <c:idx val="0"/>
            <c:bubble3D val="0"/>
            <c:spPr>
              <a:solidFill>
                <a:schemeClr val="accent2">
                  <a:shade val="65000"/>
                </a:schemeClr>
              </a:solidFill>
              <a:ln w="19050">
                <a:solidFill>
                  <a:schemeClr val="lt1"/>
                </a:solidFill>
              </a:ln>
              <a:effectLst/>
            </c:spPr>
            <c:extLst>
              <c:ext xmlns:c16="http://schemas.microsoft.com/office/drawing/2014/chart" uri="{C3380CC4-5D6E-409C-BE32-E72D297353CC}">
                <c16:uniqueId val="{00000001-9809-1B44-82E8-CA5D3874EF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809-1B44-82E8-CA5D3874EFA1}"/>
              </c:ext>
            </c:extLst>
          </c:dPt>
          <c:dPt>
            <c:idx val="2"/>
            <c:bubble3D val="0"/>
            <c:spPr>
              <a:solidFill>
                <a:srgbClr val="C05C27"/>
              </a:solidFill>
              <a:ln w="19050">
                <a:solidFill>
                  <a:schemeClr val="lt1"/>
                </a:solidFill>
              </a:ln>
              <a:effectLst/>
            </c:spPr>
            <c:extLst>
              <c:ext xmlns:c16="http://schemas.microsoft.com/office/drawing/2014/chart" uri="{C3380CC4-5D6E-409C-BE32-E72D297353CC}">
                <c16:uniqueId val="{00000005-9809-1B44-82E8-CA5D3874EFA1}"/>
              </c:ext>
            </c:extLst>
          </c:dPt>
          <c:cat>
            <c:strRef>
              <c:f>SLAstatus!$A$2:$A$4</c:f>
              <c:strCache>
                <c:ptCount val="3"/>
                <c:pt idx="0">
                  <c:v>SLA met</c:v>
                </c:pt>
                <c:pt idx="1">
                  <c:v>SLA fail : late delivery</c:v>
                </c:pt>
                <c:pt idx="2">
                  <c:v>delivery time missing / no SLA</c:v>
                </c:pt>
              </c:strCache>
            </c:strRef>
          </c:cat>
          <c:val>
            <c:numRef>
              <c:f>SLAstatus!$B$2:$B$4</c:f>
              <c:numCache>
                <c:formatCode>0%</c:formatCode>
                <c:ptCount val="3"/>
                <c:pt idx="0">
                  <c:v>0.7366167023554604</c:v>
                </c:pt>
                <c:pt idx="1">
                  <c:v>0.14775160599571735</c:v>
                </c:pt>
                <c:pt idx="2">
                  <c:v>0.11563169164882227</c:v>
                </c:pt>
              </c:numCache>
            </c:numRef>
          </c:val>
          <c:extLst>
            <c:ext xmlns:c16="http://schemas.microsoft.com/office/drawing/2014/chart" uri="{C3380CC4-5D6E-409C-BE32-E72D297353CC}">
              <c16:uniqueId val="{00000006-9809-1B44-82E8-CA5D3874EFA1}"/>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[Sales&amp;Operational_Performance_Dashboard.xlsm]SLAstatus!PivotTable6</c:name>
    <c:fmtId val="7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tint val="65000"/>
            </a:schemeClr>
          </a:solidFill>
          <a:ln w="19050">
            <a:solidFill>
              <a:schemeClr val="lt1"/>
            </a:solidFill>
          </a:ln>
          <a:effectLst/>
        </c:spPr>
      </c:pivotFmt>
      <c:pivotFmt>
        <c:idx val="15"/>
        <c:spPr>
          <a:solidFill>
            <a:srgbClr val="A2AFBC"/>
          </a:solidFill>
          <a:ln w="19050">
            <a:solidFill>
              <a:schemeClr val="lt1"/>
            </a:solidFill>
          </a:ln>
          <a:effectLst/>
        </c:spPr>
      </c:pivotFmt>
      <c:pivotFmt>
        <c:idx val="16"/>
        <c:spPr>
          <a:solidFill>
            <a:schemeClr val="accent1">
              <a:shade val="65000"/>
            </a:schemeClr>
          </a:solidFill>
          <a:ln w="19050">
            <a:solidFill>
              <a:schemeClr val="lt1"/>
            </a:solidFill>
          </a:ln>
          <a:effectLst/>
        </c:spPr>
      </c:pivotFmt>
    </c:pivotFmts>
    <c:plotArea>
      <c:layout/>
      <c:doughnutChart>
        <c:varyColors val="1"/>
        <c:ser>
          <c:idx val="0"/>
          <c:order val="0"/>
          <c:tx>
            <c:strRef>
              <c:f>SLAstatus!$B$1</c:f>
              <c:strCache>
                <c:ptCount val="1"/>
                <c:pt idx="0">
                  <c:v>Total</c:v>
                </c:pt>
              </c:strCache>
            </c:strRef>
          </c:tx>
          <c:dPt>
            <c:idx val="0"/>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01-F99D-6342-877E-8C2D10B86851}"/>
              </c:ext>
            </c:extLst>
          </c:dPt>
          <c:dPt>
            <c:idx val="1"/>
            <c:bubble3D val="0"/>
            <c:spPr>
              <a:solidFill>
                <a:srgbClr val="A2AFBC"/>
              </a:solidFill>
              <a:ln w="19050">
                <a:solidFill>
                  <a:schemeClr val="lt1"/>
                </a:solidFill>
              </a:ln>
              <a:effectLst/>
            </c:spPr>
            <c:extLst>
              <c:ext xmlns:c16="http://schemas.microsoft.com/office/drawing/2014/chart" uri="{C3380CC4-5D6E-409C-BE32-E72D297353CC}">
                <c16:uniqueId val="{00000003-F99D-6342-877E-8C2D10B86851}"/>
              </c:ext>
            </c:extLst>
          </c:dPt>
          <c:dPt>
            <c:idx val="2"/>
            <c:bubble3D val="0"/>
            <c:spPr>
              <a:solidFill>
                <a:schemeClr val="accent1">
                  <a:shade val="65000"/>
                </a:schemeClr>
              </a:solidFill>
              <a:ln w="19050">
                <a:solidFill>
                  <a:schemeClr val="lt1"/>
                </a:solidFill>
              </a:ln>
              <a:effectLst/>
            </c:spPr>
            <c:extLst>
              <c:ext xmlns:c16="http://schemas.microsoft.com/office/drawing/2014/chart" uri="{C3380CC4-5D6E-409C-BE32-E72D297353CC}">
                <c16:uniqueId val="{00000005-F99D-6342-877E-8C2D10B86851}"/>
              </c:ext>
            </c:extLst>
          </c:dPt>
          <c:cat>
            <c:strRef>
              <c:f>SLAstatus!$A$2:$A$4</c:f>
              <c:strCache>
                <c:ptCount val="3"/>
                <c:pt idx="0">
                  <c:v>SLA met</c:v>
                </c:pt>
                <c:pt idx="1">
                  <c:v>SLA fail : late delivery</c:v>
                </c:pt>
                <c:pt idx="2">
                  <c:v>delivery time missing / no SLA</c:v>
                </c:pt>
              </c:strCache>
            </c:strRef>
          </c:cat>
          <c:val>
            <c:numRef>
              <c:f>SLAstatus!$B$2:$B$4</c:f>
              <c:numCache>
                <c:formatCode>0%</c:formatCode>
                <c:ptCount val="3"/>
                <c:pt idx="0">
                  <c:v>0.7366167023554604</c:v>
                </c:pt>
                <c:pt idx="1">
                  <c:v>0.14775160599571735</c:v>
                </c:pt>
                <c:pt idx="2">
                  <c:v>0.11563169164882227</c:v>
                </c:pt>
              </c:numCache>
            </c:numRef>
          </c:val>
          <c:extLst>
            <c:ext xmlns:c16="http://schemas.microsoft.com/office/drawing/2014/chart" uri="{C3380CC4-5D6E-409C-BE32-E72D297353CC}">
              <c16:uniqueId val="{00000006-F99D-6342-877E-8C2D10B86851}"/>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[Sales&amp;Operational_Performance_Dashboard.xlsm]AvgSatisfaction!PivotTable1</c:name>
    <c:fmtId val="2"/>
  </c:pivotSource>
  <c:chart>
    <c:title>
      <c:tx>
        <c:rich>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r>
              <a:rPr lang="en-GB">
                <a:solidFill>
                  <a:schemeClr val="tx2">
                    <a:lumMod val="25000"/>
                    <a:lumOff val="75000"/>
                  </a:schemeClr>
                </a:solidFill>
              </a:rPr>
              <a:t>Average Satisfaction Score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endParaRPr lang="en-US"/>
        </a:p>
      </c:txPr>
    </c:title>
    <c:autoTitleDeleted val="0"/>
    <c:pivotFmts>
      <c:pivotFmt>
        <c:idx val="0"/>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AvgSatisfaction!$B$3</c:f>
              <c:strCache>
                <c:ptCount val="1"/>
                <c:pt idx="0">
                  <c:v>Total</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AvgSatisfaction!$A$4:$A$9</c:f>
              <c:strCache>
                <c:ptCount val="5"/>
                <c:pt idx="0">
                  <c:v>Books</c:v>
                </c:pt>
                <c:pt idx="1">
                  <c:v>Clothing</c:v>
                </c:pt>
                <c:pt idx="2">
                  <c:v>Electronics</c:v>
                </c:pt>
                <c:pt idx="3">
                  <c:v>Home Goods</c:v>
                </c:pt>
                <c:pt idx="4">
                  <c:v>UNCATEGORISED</c:v>
                </c:pt>
              </c:strCache>
            </c:strRef>
          </c:cat>
          <c:val>
            <c:numRef>
              <c:f>AvgSatisfaction!$B$4:$B$9</c:f>
              <c:numCache>
                <c:formatCode>0.00</c:formatCode>
                <c:ptCount val="5"/>
                <c:pt idx="0">
                  <c:v>6.9198312236286919</c:v>
                </c:pt>
                <c:pt idx="1">
                  <c:v>7.105820105820106</c:v>
                </c:pt>
                <c:pt idx="2">
                  <c:v>7.0414746543778799</c:v>
                </c:pt>
                <c:pt idx="3">
                  <c:v>7.1487179487179491</c:v>
                </c:pt>
                <c:pt idx="4">
                  <c:v>7.215686274509804</c:v>
                </c:pt>
              </c:numCache>
            </c:numRef>
          </c:val>
          <c:extLst>
            <c:ext xmlns:c16="http://schemas.microsoft.com/office/drawing/2014/chart" uri="{C3380CC4-5D6E-409C-BE32-E72D297353CC}">
              <c16:uniqueId val="{00000000-EF19-094A-9C20-659A30A96610}"/>
            </c:ext>
          </c:extLst>
        </c:ser>
        <c:dLbls>
          <c:dLblPos val="outEnd"/>
          <c:showLegendKey val="0"/>
          <c:showVal val="1"/>
          <c:showCatName val="0"/>
          <c:showSerName val="0"/>
          <c:showPercent val="0"/>
          <c:showBubbleSize val="0"/>
        </c:dLbls>
        <c:gapWidth val="219"/>
        <c:overlap val="-27"/>
        <c:axId val="265892127"/>
        <c:axId val="265893839"/>
      </c:barChart>
      <c:catAx>
        <c:axId val="265892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265893839"/>
        <c:crosses val="autoZero"/>
        <c:auto val="1"/>
        <c:lblAlgn val="ctr"/>
        <c:lblOffset val="100"/>
        <c:noMultiLvlLbl val="0"/>
      </c:catAx>
      <c:valAx>
        <c:axId val="265893839"/>
        <c:scaling>
          <c:orientation val="minMax"/>
        </c:scaling>
        <c:delete val="0"/>
        <c:axPos val="l"/>
        <c:majorGridlines>
          <c:spPr>
            <a:ln w="3175" cap="flat" cmpd="sng" algn="ctr">
              <a:solidFill>
                <a:schemeClr val="tx1">
                  <a:lumMod val="15000"/>
                  <a:lumOff val="85000"/>
                </a:schemeClr>
              </a:solidFill>
              <a:prstDash val="sysDot"/>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2658921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lumOff val="25000"/>
      </a:schemeClr>
    </a:solidFill>
    <a:ln w="9525" cap="flat" cmpd="sng" algn="ctr">
      <a:solidFill>
        <a:schemeClr val="tx1">
          <a:lumMod val="15000"/>
          <a:lumOff val="85000"/>
        </a:schemeClr>
      </a:solidFill>
      <a:round/>
    </a:ln>
    <a:effectLst/>
  </c:spPr>
  <c:txPr>
    <a:bodyPr/>
    <a:lstStyle/>
    <a:p>
      <a:pPr>
        <a:defRPr>
          <a:solidFill>
            <a:schemeClr val="accent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[Sales&amp;Operational_Performance_Dashboard.xlsm]AvgDelivery!PivotTable2</c:name>
    <c:fmtId val="6"/>
  </c:pivotSource>
  <c:chart>
    <c:title>
      <c:tx>
        <c:rich>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r>
              <a:rPr lang="en-US">
                <a:solidFill>
                  <a:schemeClr val="tx2">
                    <a:lumMod val="25000"/>
                    <a:lumOff val="75000"/>
                  </a:schemeClr>
                </a:solidFill>
              </a:rPr>
              <a:t>Average Days for Delivery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endParaRPr lang="en-US"/>
        </a:p>
      </c:tx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25000"/>
                      <a:lumOff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AvgDelivery!$B$1</c:f>
              <c:strCache>
                <c:ptCount val="1"/>
                <c:pt idx="0">
                  <c:v>Total</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25000"/>
                        <a:lumOff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AvgDelivery!$A$2:$A$6</c:f>
              <c:strCache>
                <c:ptCount val="5"/>
                <c:pt idx="0">
                  <c:v>UNCATEGORISED</c:v>
                </c:pt>
                <c:pt idx="1">
                  <c:v>Home Goods</c:v>
                </c:pt>
                <c:pt idx="2">
                  <c:v>Electronics</c:v>
                </c:pt>
                <c:pt idx="3">
                  <c:v>Clothing</c:v>
                </c:pt>
                <c:pt idx="4">
                  <c:v>Books</c:v>
                </c:pt>
              </c:strCache>
            </c:strRef>
          </c:cat>
          <c:val>
            <c:numRef>
              <c:f>AvgDelivery!$B$2:$B$6</c:f>
              <c:numCache>
                <c:formatCode>0.00</c:formatCode>
                <c:ptCount val="5"/>
                <c:pt idx="0">
                  <c:v>4.854166666666667</c:v>
                </c:pt>
                <c:pt idx="1">
                  <c:v>5.1709844559585489</c:v>
                </c:pt>
                <c:pt idx="2">
                  <c:v>5.1395348837209305</c:v>
                </c:pt>
                <c:pt idx="3">
                  <c:v>4.9734042553191493</c:v>
                </c:pt>
                <c:pt idx="4">
                  <c:v>5.1391304347826088</c:v>
                </c:pt>
              </c:numCache>
            </c:numRef>
          </c:val>
          <c:extLst>
            <c:ext xmlns:c16="http://schemas.microsoft.com/office/drawing/2014/chart" uri="{C3380CC4-5D6E-409C-BE32-E72D297353CC}">
              <c16:uniqueId val="{00000003-F92D-924A-A67D-CB6C5CB727E6}"/>
            </c:ext>
          </c:extLst>
        </c:ser>
        <c:dLbls>
          <c:dLblPos val="outEnd"/>
          <c:showLegendKey val="0"/>
          <c:showVal val="1"/>
          <c:showCatName val="0"/>
          <c:showSerName val="0"/>
          <c:showPercent val="0"/>
          <c:showBubbleSize val="0"/>
        </c:dLbls>
        <c:gapWidth val="182"/>
        <c:axId val="903758383"/>
        <c:axId val="903672511"/>
      </c:barChart>
      <c:catAx>
        <c:axId val="9037583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903672511"/>
        <c:crosses val="autoZero"/>
        <c:auto val="1"/>
        <c:lblAlgn val="ctr"/>
        <c:lblOffset val="100"/>
        <c:noMultiLvlLbl val="0"/>
      </c:catAx>
      <c:valAx>
        <c:axId val="903672511"/>
        <c:scaling>
          <c:orientation val="minMax"/>
        </c:scaling>
        <c:delete val="0"/>
        <c:axPos val="b"/>
        <c:majorGridlines>
          <c:spPr>
            <a:ln w="9525" cap="flat" cmpd="sng" algn="ctr">
              <a:solidFill>
                <a:schemeClr val="tx1">
                  <a:lumMod val="15000"/>
                  <a:lumOff val="8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solidFill>
                      <a:schemeClr val="tx2">
                        <a:lumMod val="25000"/>
                        <a:lumOff val="75000"/>
                      </a:schemeClr>
                    </a:solidFill>
                  </a:rPr>
                  <a:t>Days</a:t>
                </a:r>
              </a:p>
            </c:rich>
          </c:tx>
          <c:layout>
            <c:manualLayout>
              <c:xMode val="edge"/>
              <c:yMode val="edge"/>
              <c:x val="0.48387423447069117"/>
              <c:y val="0.892569262175561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903758383"/>
        <c:crosses val="autoZero"/>
        <c:crossBetween val="between"/>
      </c:valAx>
      <c:spPr>
        <a:noFill/>
        <a:ln>
          <a:noFill/>
          <a:prstDash val="sysDot"/>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lumOff val="2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[Sales&amp;Operational_Performance_Dashboard.xlsm]AvgOrderValuevsVol!PivotTable3</c:name>
    <c:fmtId val="44"/>
  </c:pivotSource>
  <c:chart>
    <c:title>
      <c:tx>
        <c:rich>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r>
              <a:rPr lang="en-GB" sz="1200">
                <a:solidFill>
                  <a:schemeClr val="tx2">
                    <a:lumMod val="25000"/>
                    <a:lumOff val="75000"/>
                  </a:schemeClr>
                </a:solidFill>
              </a:rPr>
              <a:t>Average</a:t>
            </a:r>
            <a:r>
              <a:rPr lang="en-GB" sz="1200" baseline="0">
                <a:solidFill>
                  <a:schemeClr val="tx2">
                    <a:lumMod val="25000"/>
                    <a:lumOff val="75000"/>
                  </a:schemeClr>
                </a:solidFill>
              </a:rPr>
              <a:t> Order Value vs Volume of Customer per Category</a:t>
            </a:r>
            <a:endParaRPr lang="en-GB" sz="1200">
              <a:solidFill>
                <a:schemeClr val="tx2">
                  <a:lumMod val="25000"/>
                  <a:lumOff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endParaRPr lang="en-GB"/>
        </a:p>
      </c:txPr>
    </c:title>
    <c:autoTitleDeleted val="0"/>
    <c:pivotFmts>
      <c:pivotFmt>
        <c:idx val="0"/>
        <c:spPr>
          <a:solidFill>
            <a:schemeClr val="accent5">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AvgOrderValuevsVol!$B$1</c:f>
              <c:strCache>
                <c:ptCount val="1"/>
                <c:pt idx="0">
                  <c:v>Average of Order Value</c:v>
                </c:pt>
              </c:strCache>
            </c:strRef>
          </c:tx>
          <c:spPr>
            <a:solidFill>
              <a:schemeClr val="accent5">
                <a:lumMod val="75000"/>
              </a:schemeClr>
            </a:solidFill>
            <a:ln>
              <a:noFill/>
            </a:ln>
            <a:effectLst/>
            <a:sp3d/>
          </c:spPr>
          <c:invertIfNegative val="0"/>
          <c:cat>
            <c:strRef>
              <c:f>AvgOrderValuevsVol!$A$2:$A$6</c:f>
              <c:strCache>
                <c:ptCount val="5"/>
                <c:pt idx="0">
                  <c:v>Books</c:v>
                </c:pt>
                <c:pt idx="1">
                  <c:v>Clothing</c:v>
                </c:pt>
                <c:pt idx="2">
                  <c:v>Electronics</c:v>
                </c:pt>
                <c:pt idx="3">
                  <c:v>Home Goods</c:v>
                </c:pt>
                <c:pt idx="4">
                  <c:v>UNCATEGORISED</c:v>
                </c:pt>
              </c:strCache>
            </c:strRef>
          </c:cat>
          <c:val>
            <c:numRef>
              <c:f>AvgOrderValuevsVol!$B$2:$B$6</c:f>
              <c:numCache>
                <c:formatCode>_("$"* #,##0.00_);_("$"* \(#,##0.00\);_("$"* "-"??_);_(@_)</c:formatCode>
                <c:ptCount val="5"/>
                <c:pt idx="0">
                  <c:v>144.01184000000006</c:v>
                </c:pt>
                <c:pt idx="1">
                  <c:v>483.76015000000001</c:v>
                </c:pt>
                <c:pt idx="2">
                  <c:v>391.49933035714287</c:v>
                </c:pt>
                <c:pt idx="3">
                  <c:v>428.17179611650488</c:v>
                </c:pt>
                <c:pt idx="4">
                  <c:v>110.38314814814818</c:v>
                </c:pt>
              </c:numCache>
            </c:numRef>
          </c:val>
          <c:extLst>
            <c:ext xmlns:c16="http://schemas.microsoft.com/office/drawing/2014/chart" uri="{C3380CC4-5D6E-409C-BE32-E72D297353CC}">
              <c16:uniqueId val="{00000005-9CA0-1B48-9B30-54F00C637539}"/>
            </c:ext>
          </c:extLst>
        </c:ser>
        <c:ser>
          <c:idx val="1"/>
          <c:order val="1"/>
          <c:tx>
            <c:strRef>
              <c:f>AvgOrderValuevsVol!$C$1</c:f>
              <c:strCache>
                <c:ptCount val="1"/>
                <c:pt idx="0">
                  <c:v>Volume of Customer</c:v>
                </c:pt>
              </c:strCache>
            </c:strRef>
          </c:tx>
          <c:spPr>
            <a:solidFill>
              <a:schemeClr val="accent2"/>
            </a:solidFill>
            <a:ln>
              <a:noFill/>
            </a:ln>
            <a:effectLst/>
            <a:sp3d/>
          </c:spPr>
          <c:invertIfNegative val="0"/>
          <c:cat>
            <c:strRef>
              <c:f>AvgOrderValuevsVol!$A$2:$A$6</c:f>
              <c:strCache>
                <c:ptCount val="5"/>
                <c:pt idx="0">
                  <c:v>Books</c:v>
                </c:pt>
                <c:pt idx="1">
                  <c:v>Clothing</c:v>
                </c:pt>
                <c:pt idx="2">
                  <c:v>Electronics</c:v>
                </c:pt>
                <c:pt idx="3">
                  <c:v>Home Goods</c:v>
                </c:pt>
                <c:pt idx="4">
                  <c:v>UNCATEGORISED</c:v>
                </c:pt>
              </c:strCache>
            </c:strRef>
          </c:cat>
          <c:val>
            <c:numRef>
              <c:f>AvgOrderValuevsVol!$C$2:$C$6</c:f>
              <c:numCache>
                <c:formatCode>General</c:formatCode>
                <c:ptCount val="5"/>
                <c:pt idx="0">
                  <c:v>250</c:v>
                </c:pt>
                <c:pt idx="1">
                  <c:v>200</c:v>
                </c:pt>
                <c:pt idx="2">
                  <c:v>224</c:v>
                </c:pt>
                <c:pt idx="3">
                  <c:v>206</c:v>
                </c:pt>
                <c:pt idx="4">
                  <c:v>54</c:v>
                </c:pt>
              </c:numCache>
            </c:numRef>
          </c:val>
          <c:extLst>
            <c:ext xmlns:c16="http://schemas.microsoft.com/office/drawing/2014/chart" uri="{C3380CC4-5D6E-409C-BE32-E72D297353CC}">
              <c16:uniqueId val="{00000006-9CA0-1B48-9B30-54F00C637539}"/>
            </c:ext>
          </c:extLst>
        </c:ser>
        <c:dLbls>
          <c:showLegendKey val="0"/>
          <c:showVal val="0"/>
          <c:showCatName val="0"/>
          <c:showSerName val="0"/>
          <c:showPercent val="0"/>
          <c:showBubbleSize val="0"/>
        </c:dLbls>
        <c:gapWidth val="150"/>
        <c:shape val="box"/>
        <c:axId val="1399134496"/>
        <c:axId val="1399265760"/>
        <c:axId val="0"/>
      </c:bar3DChart>
      <c:catAx>
        <c:axId val="13991344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1399265760"/>
        <c:crosses val="autoZero"/>
        <c:auto val="1"/>
        <c:lblAlgn val="ctr"/>
        <c:lblOffset val="100"/>
        <c:noMultiLvlLbl val="0"/>
      </c:catAx>
      <c:valAx>
        <c:axId val="1399265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1399134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lumOff val="2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[Sales&amp;Operational_Performance_Dashboard.xlsm]FeedbackQuality!PivotTable5</c:name>
    <c:fmtId val="16"/>
  </c:pivotSource>
  <c:chart>
    <c:title>
      <c:tx>
        <c:rich>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r>
              <a:rPr lang="en-US">
                <a:solidFill>
                  <a:schemeClr val="tx2">
                    <a:lumMod val="25000"/>
                    <a:lumOff val="75000"/>
                  </a:schemeClr>
                </a:solidFill>
              </a:rPr>
              <a:t>Feedback</a:t>
            </a:r>
            <a:r>
              <a:rPr lang="en-US" baseline="0">
                <a:solidFill>
                  <a:schemeClr val="tx2">
                    <a:lumMod val="25000"/>
                    <a:lumOff val="75000"/>
                  </a:schemeClr>
                </a:solidFill>
              </a:rPr>
              <a:t> Data Quality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s>
    <c:plotArea>
      <c:layout/>
      <c:doughnutChart>
        <c:varyColors val="1"/>
        <c:ser>
          <c:idx val="0"/>
          <c:order val="0"/>
          <c:tx>
            <c:strRef>
              <c:f>FeedbackQuality!$B$1</c:f>
              <c:strCache>
                <c:ptCount val="1"/>
                <c:pt idx="0">
                  <c:v>Total</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835F-1D46-90CE-4C2DC48671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835F-1D46-90CE-4C2DC48671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FeedbackQuality!$A$2:$A$3</c:f>
              <c:strCache>
                <c:ptCount val="2"/>
                <c:pt idx="0">
                  <c:v>FEEDBACK MISSING</c:v>
                </c:pt>
                <c:pt idx="1">
                  <c:v>OK</c:v>
                </c:pt>
              </c:strCache>
            </c:strRef>
          </c:cat>
          <c:val>
            <c:numRef>
              <c:f>FeedbackQuality!$B$2:$B$3</c:f>
              <c:numCache>
                <c:formatCode>0%</c:formatCode>
                <c:ptCount val="2"/>
                <c:pt idx="0">
                  <c:v>4.8179871520342615E-2</c:v>
                </c:pt>
                <c:pt idx="1">
                  <c:v>0.95182012847965736</c:v>
                </c:pt>
              </c:numCache>
            </c:numRef>
          </c:val>
          <c:extLst>
            <c:ext xmlns:c16="http://schemas.microsoft.com/office/drawing/2014/chart" uri="{C3380CC4-5D6E-409C-BE32-E72D297353CC}">
              <c16:uniqueId val="{00000004-2C60-7040-B77F-0B4018DA9AA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lumOff val="2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[Sales&amp;Operational_Performance_Dashboard.xlsm]SLAstatus!PivotTable6</c:name>
    <c:fmtId val="6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SLAstatus!$B$1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3D9-4545-818D-205CDC468ED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3D9-4545-818D-205CDC468ED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3D9-4545-818D-205CDC468EDE}"/>
              </c:ext>
            </c:extLst>
          </c:dPt>
          <c:cat>
            <c:strRef>
              <c:f>SLAstatus!$A$2:$A$4</c:f>
              <c:strCache>
                <c:ptCount val="3"/>
                <c:pt idx="0">
                  <c:v>SLA met</c:v>
                </c:pt>
                <c:pt idx="1">
                  <c:v>SLA fail : late delivery</c:v>
                </c:pt>
                <c:pt idx="2">
                  <c:v>delivery time missing / no SLA</c:v>
                </c:pt>
              </c:strCache>
            </c:strRef>
          </c:cat>
          <c:val>
            <c:numRef>
              <c:f>SLAstatus!$B$2:$B$4</c:f>
              <c:numCache>
                <c:formatCode>0%</c:formatCode>
                <c:ptCount val="3"/>
                <c:pt idx="0">
                  <c:v>0.7366167023554604</c:v>
                </c:pt>
                <c:pt idx="1">
                  <c:v>0.14775160599571735</c:v>
                </c:pt>
                <c:pt idx="2">
                  <c:v>0.11563169164882227</c:v>
                </c:pt>
              </c:numCache>
            </c:numRef>
          </c:val>
          <c:extLst>
            <c:ext xmlns:c16="http://schemas.microsoft.com/office/drawing/2014/chart" uri="{C3380CC4-5D6E-409C-BE32-E72D297353CC}">
              <c16:uniqueId val="{00000000-26A0-3242-94F5-74E08C433A1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withinLinearReversed" id="21">
  <a:schemeClr val="accent1"/>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11087</xdr:colOff>
      <xdr:row>0</xdr:row>
      <xdr:rowOff>118936</xdr:rowOff>
    </xdr:from>
    <xdr:to>
      <xdr:col>25</xdr:col>
      <xdr:colOff>465666</xdr:colOff>
      <xdr:row>5</xdr:row>
      <xdr:rowOff>78014</xdr:rowOff>
    </xdr:to>
    <xdr:sp macro="" textlink="">
      <xdr:nvSpPr>
        <xdr:cNvPr id="26" name="Rounded Rectangle 25">
          <a:extLst>
            <a:ext uri="{FF2B5EF4-FFF2-40B4-BE49-F238E27FC236}">
              <a16:creationId xmlns:a16="http://schemas.microsoft.com/office/drawing/2014/main" id="{94D63F2F-4F2F-C51C-F948-DDC6457B0ECC}"/>
            </a:ext>
          </a:extLst>
        </xdr:cNvPr>
        <xdr:cNvSpPr/>
      </xdr:nvSpPr>
      <xdr:spPr>
        <a:xfrm>
          <a:off x="2783920" y="118936"/>
          <a:ext cx="19991413" cy="1017411"/>
        </a:xfrm>
        <a:prstGeom prst="roundRect">
          <a:avLst/>
        </a:prstGeom>
        <a:solidFill>
          <a:schemeClr val="tx2">
            <a:lumMod val="90000"/>
            <a:lumOff val="1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6000" b="0" cap="none" spc="0">
              <a:ln w="0"/>
              <a:solidFill>
                <a:schemeClr val="tx2">
                  <a:lumMod val="10000"/>
                  <a:lumOff val="90000"/>
                </a:schemeClr>
              </a:solidFill>
              <a:effectLst>
                <a:outerShdw blurRad="50800" dist="38100" dir="5400000" algn="t" rotWithShape="0">
                  <a:prstClr val="black">
                    <a:alpha val="40000"/>
                  </a:prstClr>
                </a:outerShdw>
              </a:effectLst>
            </a:rPr>
            <a:t>Sales</a:t>
          </a:r>
          <a:r>
            <a:rPr lang="en-GB" sz="6000" b="0" cap="none" spc="0" baseline="0">
              <a:ln w="0"/>
              <a:solidFill>
                <a:schemeClr val="tx2">
                  <a:lumMod val="10000"/>
                  <a:lumOff val="90000"/>
                </a:schemeClr>
              </a:solidFill>
              <a:effectLst>
                <a:outerShdw blurRad="50800" dist="38100" dir="5400000" algn="t" rotWithShape="0">
                  <a:prstClr val="black">
                    <a:alpha val="40000"/>
                  </a:prstClr>
                </a:outerShdw>
              </a:effectLst>
            </a:rPr>
            <a:t> &amp; </a:t>
          </a:r>
          <a:r>
            <a:rPr lang="en-GB" sz="6000" b="0" cap="none" spc="0">
              <a:ln w="0"/>
              <a:solidFill>
                <a:schemeClr val="tx2">
                  <a:lumMod val="10000"/>
                  <a:lumOff val="90000"/>
                </a:schemeClr>
              </a:solidFill>
              <a:effectLst>
                <a:outerShdw blurRad="50800" dist="38100" dir="5400000" algn="t" rotWithShape="0">
                  <a:prstClr val="black">
                    <a:alpha val="40000"/>
                  </a:prstClr>
                </a:outerShdw>
              </a:effectLst>
            </a:rPr>
            <a:t>Operational</a:t>
          </a:r>
          <a:r>
            <a:rPr lang="en-GB" sz="6000" b="0" cap="none" spc="0" baseline="0">
              <a:ln w="0"/>
              <a:solidFill>
                <a:schemeClr val="tx2">
                  <a:lumMod val="10000"/>
                  <a:lumOff val="90000"/>
                </a:schemeClr>
              </a:solidFill>
              <a:effectLst>
                <a:outerShdw blurRad="50800" dist="38100" dir="5400000" algn="t" rotWithShape="0">
                  <a:prstClr val="black">
                    <a:alpha val="40000"/>
                  </a:prstClr>
                </a:outerShdw>
              </a:effectLst>
            </a:rPr>
            <a:t> Performance Dashboard</a:t>
          </a:r>
          <a:endParaRPr lang="en-GB" sz="6000" b="0" cap="none" spc="0">
            <a:ln w="0"/>
            <a:solidFill>
              <a:schemeClr val="tx2">
                <a:lumMod val="10000"/>
                <a:lumOff val="90000"/>
              </a:schemeClr>
            </a:solidFill>
            <a:effectLst>
              <a:outerShdw blurRad="50800" dist="38100" dir="5400000" algn="t" rotWithShape="0">
                <a:prstClr val="black">
                  <a:alpha val="40000"/>
                </a:prstClr>
              </a:outerShdw>
            </a:effectLst>
          </a:endParaRPr>
        </a:p>
      </xdr:txBody>
    </xdr:sp>
    <xdr:clientData/>
  </xdr:twoCellAnchor>
  <xdr:twoCellAnchor>
    <xdr:from>
      <xdr:col>14</xdr:col>
      <xdr:colOff>1154087</xdr:colOff>
      <xdr:row>7</xdr:row>
      <xdr:rowOff>0</xdr:rowOff>
    </xdr:from>
    <xdr:to>
      <xdr:col>17</xdr:col>
      <xdr:colOff>489857</xdr:colOff>
      <xdr:row>16</xdr:row>
      <xdr:rowOff>181429</xdr:rowOff>
    </xdr:to>
    <xdr:sp macro="" textlink="">
      <xdr:nvSpPr>
        <xdr:cNvPr id="52" name="Rounded Rectangle 51">
          <a:extLst>
            <a:ext uri="{FF2B5EF4-FFF2-40B4-BE49-F238E27FC236}">
              <a16:creationId xmlns:a16="http://schemas.microsoft.com/office/drawing/2014/main" id="{CC9EAFE0-F4AF-864B-BFAA-86EACA9825C4}"/>
            </a:ext>
          </a:extLst>
        </xdr:cNvPr>
        <xdr:cNvSpPr/>
      </xdr:nvSpPr>
      <xdr:spPr>
        <a:xfrm>
          <a:off x="13007420" y="1481667"/>
          <a:ext cx="3188104" cy="2086429"/>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 </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ea typeface="+mn-ea"/>
              <a:cs typeface="Calibri" panose="020F0502020204030204" pitchFamily="34" charset="0"/>
            </a:rPr>
            <a:t>Non-Straight</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 Through</a:t>
          </a:r>
          <a:endPar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endParaRPr>
        </a:p>
      </xdr:txBody>
    </xdr:sp>
    <xdr:clientData/>
  </xdr:twoCellAnchor>
  <xdr:twoCellAnchor>
    <xdr:from>
      <xdr:col>2</xdr:col>
      <xdr:colOff>816428</xdr:colOff>
      <xdr:row>17</xdr:row>
      <xdr:rowOff>72975</xdr:rowOff>
    </xdr:from>
    <xdr:to>
      <xdr:col>7</xdr:col>
      <xdr:colOff>635002</xdr:colOff>
      <xdr:row>27</xdr:row>
      <xdr:rowOff>127000</xdr:rowOff>
    </xdr:to>
    <xdr:sp macro="" textlink="">
      <xdr:nvSpPr>
        <xdr:cNvPr id="56" name="Rounded Rectangle 55">
          <a:extLst>
            <a:ext uri="{FF2B5EF4-FFF2-40B4-BE49-F238E27FC236}">
              <a16:creationId xmlns:a16="http://schemas.microsoft.com/office/drawing/2014/main" id="{60F04486-85CD-214A-8A4B-936A5D542FF1}"/>
            </a:ext>
          </a:extLst>
        </xdr:cNvPr>
        <xdr:cNvSpPr/>
      </xdr:nvSpPr>
      <xdr:spPr>
        <a:xfrm>
          <a:off x="2763761" y="3671308"/>
          <a:ext cx="3946074" cy="2170692"/>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ea typeface="+mn-ea"/>
              <a:cs typeface="Calibri" panose="020F0502020204030204" pitchFamily="34" charset="0"/>
            </a:rPr>
            <a:t>Average Satisfaction </a:t>
          </a:r>
        </a:p>
      </xdr:txBody>
    </xdr:sp>
    <xdr:clientData/>
  </xdr:twoCellAnchor>
  <xdr:twoCellAnchor>
    <xdr:from>
      <xdr:col>14</xdr:col>
      <xdr:colOff>1172233</xdr:colOff>
      <xdr:row>18</xdr:row>
      <xdr:rowOff>21167</xdr:rowOff>
    </xdr:from>
    <xdr:to>
      <xdr:col>17</xdr:col>
      <xdr:colOff>508001</xdr:colOff>
      <xdr:row>27</xdr:row>
      <xdr:rowOff>117928</xdr:rowOff>
    </xdr:to>
    <xdr:sp macro="" textlink="">
      <xdr:nvSpPr>
        <xdr:cNvPr id="57" name="Rounded Rectangle 56">
          <a:extLst>
            <a:ext uri="{FF2B5EF4-FFF2-40B4-BE49-F238E27FC236}">
              <a16:creationId xmlns:a16="http://schemas.microsoft.com/office/drawing/2014/main" id="{364ECB30-89C5-4444-B6D9-7AAC1A08AFFE}"/>
            </a:ext>
          </a:extLst>
        </xdr:cNvPr>
        <xdr:cNvSpPr/>
      </xdr:nvSpPr>
      <xdr:spPr>
        <a:xfrm>
          <a:off x="13025566" y="3831167"/>
          <a:ext cx="3188102" cy="2001761"/>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 At-Risk Transactions</a:t>
          </a:r>
          <a:endPar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endParaRPr>
        </a:p>
      </xdr:txBody>
    </xdr:sp>
    <xdr:clientData/>
  </xdr:twoCellAnchor>
  <xdr:twoCellAnchor>
    <xdr:from>
      <xdr:col>8</xdr:col>
      <xdr:colOff>120346</xdr:colOff>
      <xdr:row>6</xdr:row>
      <xdr:rowOff>151190</xdr:rowOff>
    </xdr:from>
    <xdr:to>
      <xdr:col>14</xdr:col>
      <xdr:colOff>892022</xdr:colOff>
      <xdr:row>27</xdr:row>
      <xdr:rowOff>87689</xdr:rowOff>
    </xdr:to>
    <xdr:sp macro="" textlink="">
      <xdr:nvSpPr>
        <xdr:cNvPr id="59" name="Rounded Rectangle 58">
          <a:extLst>
            <a:ext uri="{FF2B5EF4-FFF2-40B4-BE49-F238E27FC236}">
              <a16:creationId xmlns:a16="http://schemas.microsoft.com/office/drawing/2014/main" id="{9E0B8263-8B45-3548-BB42-3F43F14F6CB6}"/>
            </a:ext>
          </a:extLst>
        </xdr:cNvPr>
        <xdr:cNvSpPr/>
      </xdr:nvSpPr>
      <xdr:spPr>
        <a:xfrm>
          <a:off x="7020679" y="1421190"/>
          <a:ext cx="5724676" cy="4381499"/>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Avg</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 Order Value vs Vol of Customer </a:t>
          </a:r>
          <a:endPar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endParaRPr>
        </a:p>
      </xdr:txBody>
    </xdr:sp>
    <xdr:clientData/>
  </xdr:twoCellAnchor>
  <xdr:twoCellAnchor>
    <xdr:from>
      <xdr:col>2</xdr:col>
      <xdr:colOff>777120</xdr:colOff>
      <xdr:row>28</xdr:row>
      <xdr:rowOff>135464</xdr:rowOff>
    </xdr:from>
    <xdr:to>
      <xdr:col>14</xdr:col>
      <xdr:colOff>889000</xdr:colOff>
      <xdr:row>53</xdr:row>
      <xdr:rowOff>169334</xdr:rowOff>
    </xdr:to>
    <xdr:sp macro="" textlink="">
      <xdr:nvSpPr>
        <xdr:cNvPr id="60" name="Rounded Rectangle 59">
          <a:extLst>
            <a:ext uri="{FF2B5EF4-FFF2-40B4-BE49-F238E27FC236}">
              <a16:creationId xmlns:a16="http://schemas.microsoft.com/office/drawing/2014/main" id="{76D063D3-55F0-EC48-98A2-6DA71346C2BD}"/>
            </a:ext>
          </a:extLst>
        </xdr:cNvPr>
        <xdr:cNvSpPr/>
      </xdr:nvSpPr>
      <xdr:spPr>
        <a:xfrm>
          <a:off x="2724453" y="6062131"/>
          <a:ext cx="10017880" cy="5325536"/>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Average Satisfaction</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 </a:t>
          </a:r>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by Category</a:t>
          </a:r>
        </a:p>
      </xdr:txBody>
    </xdr:sp>
    <xdr:clientData/>
  </xdr:twoCellAnchor>
  <xdr:twoCellAnchor>
    <xdr:from>
      <xdr:col>14</xdr:col>
      <xdr:colOff>1171022</xdr:colOff>
      <xdr:row>28</xdr:row>
      <xdr:rowOff>190500</xdr:rowOff>
    </xdr:from>
    <xdr:to>
      <xdr:col>25</xdr:col>
      <xdr:colOff>444499</xdr:colOff>
      <xdr:row>54</xdr:row>
      <xdr:rowOff>0</xdr:rowOff>
    </xdr:to>
    <xdr:sp macro="" textlink="">
      <xdr:nvSpPr>
        <xdr:cNvPr id="62" name="Rounded Rectangle 61">
          <a:extLst>
            <a:ext uri="{FF2B5EF4-FFF2-40B4-BE49-F238E27FC236}">
              <a16:creationId xmlns:a16="http://schemas.microsoft.com/office/drawing/2014/main" id="{420DE456-5767-E94D-99E2-C320180CE246}"/>
            </a:ext>
          </a:extLst>
        </xdr:cNvPr>
        <xdr:cNvSpPr/>
      </xdr:nvSpPr>
      <xdr:spPr>
        <a:xfrm>
          <a:off x="13024355" y="6117167"/>
          <a:ext cx="9729811" cy="5312833"/>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Average Days for Delivery by Category</a:t>
          </a:r>
        </a:p>
      </xdr:txBody>
    </xdr:sp>
    <xdr:clientData/>
  </xdr:twoCellAnchor>
  <xdr:twoCellAnchor>
    <xdr:from>
      <xdr:col>8</xdr:col>
      <xdr:colOff>451757</xdr:colOff>
      <xdr:row>8</xdr:row>
      <xdr:rowOff>87690</xdr:rowOff>
    </xdr:from>
    <xdr:to>
      <xdr:col>14</xdr:col>
      <xdr:colOff>677333</xdr:colOff>
      <xdr:row>27</xdr:row>
      <xdr:rowOff>84668</xdr:rowOff>
    </xdr:to>
    <xdr:graphicFrame macro="">
      <xdr:nvGraphicFramePr>
        <xdr:cNvPr id="64" name="Chart 63">
          <a:extLst>
            <a:ext uri="{FF2B5EF4-FFF2-40B4-BE49-F238E27FC236}">
              <a16:creationId xmlns:a16="http://schemas.microsoft.com/office/drawing/2014/main" id="{204FFCFC-D78C-B146-A8C1-6212B444FF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1293183</xdr:colOff>
      <xdr:row>32</xdr:row>
      <xdr:rowOff>127001</xdr:rowOff>
    </xdr:from>
    <xdr:to>
      <xdr:col>20</xdr:col>
      <xdr:colOff>656166</xdr:colOff>
      <xdr:row>53</xdr:row>
      <xdr:rowOff>127001</xdr:rowOff>
    </xdr:to>
    <xdr:graphicFrame macro="">
      <xdr:nvGraphicFramePr>
        <xdr:cNvPr id="65" name="Chart 64">
          <a:extLst>
            <a:ext uri="{FF2B5EF4-FFF2-40B4-BE49-F238E27FC236}">
              <a16:creationId xmlns:a16="http://schemas.microsoft.com/office/drawing/2014/main" id="{136310C6-7581-7D41-A4D9-E1DA2CC9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608994</xdr:colOff>
      <xdr:row>32</xdr:row>
      <xdr:rowOff>190501</xdr:rowOff>
    </xdr:from>
    <xdr:to>
      <xdr:col>9</xdr:col>
      <xdr:colOff>571500</xdr:colOff>
      <xdr:row>61</xdr:row>
      <xdr:rowOff>63500</xdr:rowOff>
    </xdr:to>
    <xdr:graphicFrame macro="">
      <xdr:nvGraphicFramePr>
        <xdr:cNvPr id="67" name="Chart 66">
          <a:extLst>
            <a:ext uri="{FF2B5EF4-FFF2-40B4-BE49-F238E27FC236}">
              <a16:creationId xmlns:a16="http://schemas.microsoft.com/office/drawing/2014/main" id="{54334F1C-F8F3-F641-B9BB-FBB32AF65F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283027</xdr:colOff>
      <xdr:row>30</xdr:row>
      <xdr:rowOff>177798</xdr:rowOff>
    </xdr:from>
    <xdr:to>
      <xdr:col>14</xdr:col>
      <xdr:colOff>698500</xdr:colOff>
      <xdr:row>48</xdr:row>
      <xdr:rowOff>84667</xdr:rowOff>
    </xdr:to>
    <xdr:graphicFrame macro="">
      <xdr:nvGraphicFramePr>
        <xdr:cNvPr id="70" name="Chart 69">
          <a:extLst>
            <a:ext uri="{FF2B5EF4-FFF2-40B4-BE49-F238E27FC236}">
              <a16:creationId xmlns:a16="http://schemas.microsoft.com/office/drawing/2014/main" id="{A1D82421-6649-D341-A2B0-83B0301312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90714</xdr:colOff>
      <xdr:row>7</xdr:row>
      <xdr:rowOff>24793</xdr:rowOff>
    </xdr:from>
    <xdr:to>
      <xdr:col>25</xdr:col>
      <xdr:colOff>435430</xdr:colOff>
      <xdr:row>13</xdr:row>
      <xdr:rowOff>54427</xdr:rowOff>
    </xdr:to>
    <mc:AlternateContent xmlns:mc="http://schemas.openxmlformats.org/markup-compatibility/2006" xmlns:a14="http://schemas.microsoft.com/office/drawing/2010/main">
      <mc:Choice Requires="a14">
        <xdr:graphicFrame macro="">
          <xdr:nvGraphicFramePr>
            <xdr:cNvPr id="72" name="Customer Service Interaction_Clean 6">
              <a:extLst>
                <a:ext uri="{FF2B5EF4-FFF2-40B4-BE49-F238E27FC236}">
                  <a16:creationId xmlns:a16="http://schemas.microsoft.com/office/drawing/2014/main" id="{AAA3A8E8-C504-084B-B94D-CBA4BFAD1E38}"/>
                </a:ext>
              </a:extLst>
            </xdr:cNvPr>
            <xdr:cNvGraphicFramePr/>
          </xdr:nvGraphicFramePr>
          <xdr:xfrm>
            <a:off x="0" y="0"/>
            <a:ext cx="0" cy="0"/>
          </xdr:xfrm>
          <a:graphic>
            <a:graphicData uri="http://schemas.microsoft.com/office/drawing/2010/slicer">
              <sle:slicer xmlns:sle="http://schemas.microsoft.com/office/drawing/2010/slicer" name="Customer Service Interaction_Clean 6"/>
            </a:graphicData>
          </a:graphic>
        </xdr:graphicFrame>
      </mc:Choice>
      <mc:Fallback xmlns="">
        <xdr:sp macro="" textlink="">
          <xdr:nvSpPr>
            <xdr:cNvPr id="0" name=""/>
            <xdr:cNvSpPr>
              <a:spLocks noTextEdit="1"/>
            </xdr:cNvSpPr>
          </xdr:nvSpPr>
          <xdr:spPr>
            <a:xfrm>
              <a:off x="16621881" y="1506460"/>
              <a:ext cx="6123216" cy="129963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91723</xdr:colOff>
      <xdr:row>13</xdr:row>
      <xdr:rowOff>66724</xdr:rowOff>
    </xdr:from>
    <xdr:to>
      <xdr:col>23</xdr:col>
      <xdr:colOff>254001</xdr:colOff>
      <xdr:row>27</xdr:row>
      <xdr:rowOff>90714</xdr:rowOff>
    </xdr:to>
    <mc:AlternateContent xmlns:mc="http://schemas.openxmlformats.org/markup-compatibility/2006" xmlns:a14="http://schemas.microsoft.com/office/drawing/2010/main">
      <mc:Choice Requires="a14">
        <xdr:graphicFrame macro="">
          <xdr:nvGraphicFramePr>
            <xdr:cNvPr id="73" name="Customer Age_Group 5">
              <a:extLst>
                <a:ext uri="{FF2B5EF4-FFF2-40B4-BE49-F238E27FC236}">
                  <a16:creationId xmlns:a16="http://schemas.microsoft.com/office/drawing/2014/main" id="{9063624B-F26E-FE42-85C6-1FD55222E8EE}"/>
                </a:ext>
              </a:extLst>
            </xdr:cNvPr>
            <xdr:cNvGraphicFramePr/>
          </xdr:nvGraphicFramePr>
          <xdr:xfrm>
            <a:off x="0" y="0"/>
            <a:ext cx="0" cy="0"/>
          </xdr:xfrm>
          <a:graphic>
            <a:graphicData uri="http://schemas.microsoft.com/office/drawing/2010/slicer">
              <sle:slicer xmlns:sle="http://schemas.microsoft.com/office/drawing/2010/slicer" name="Customer Age_Group 5"/>
            </a:graphicData>
          </a:graphic>
        </xdr:graphicFrame>
      </mc:Choice>
      <mc:Fallback xmlns="">
        <xdr:sp macro="" textlink="">
          <xdr:nvSpPr>
            <xdr:cNvPr id="0" name=""/>
            <xdr:cNvSpPr>
              <a:spLocks noTextEdit="1"/>
            </xdr:cNvSpPr>
          </xdr:nvSpPr>
          <xdr:spPr>
            <a:xfrm>
              <a:off x="19099390" y="2818391"/>
              <a:ext cx="1813278" cy="298732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308429</xdr:colOff>
      <xdr:row>13</xdr:row>
      <xdr:rowOff>69146</xdr:rowOff>
    </xdr:from>
    <xdr:to>
      <xdr:col>25</xdr:col>
      <xdr:colOff>417286</xdr:colOff>
      <xdr:row>23</xdr:row>
      <xdr:rowOff>54428</xdr:rowOff>
    </xdr:to>
    <mc:AlternateContent xmlns:mc="http://schemas.openxmlformats.org/markup-compatibility/2006" xmlns:a14="http://schemas.microsoft.com/office/drawing/2010/main">
      <mc:Choice Requires="a14">
        <xdr:graphicFrame macro="">
          <xdr:nvGraphicFramePr>
            <xdr:cNvPr id="75" name="Gender_Clean 5">
              <a:extLst>
                <a:ext uri="{FF2B5EF4-FFF2-40B4-BE49-F238E27FC236}">
                  <a16:creationId xmlns:a16="http://schemas.microsoft.com/office/drawing/2014/main" id="{2094FAED-8B9D-EF49-BA80-0A49D4DADF02}"/>
                </a:ext>
              </a:extLst>
            </xdr:cNvPr>
            <xdr:cNvGraphicFramePr/>
          </xdr:nvGraphicFramePr>
          <xdr:xfrm>
            <a:off x="0" y="0"/>
            <a:ext cx="0" cy="0"/>
          </xdr:xfrm>
          <a:graphic>
            <a:graphicData uri="http://schemas.microsoft.com/office/drawing/2010/slicer">
              <sle:slicer xmlns:sle="http://schemas.microsoft.com/office/drawing/2010/slicer" name="Gender_Clean 5"/>
            </a:graphicData>
          </a:graphic>
        </xdr:graphicFrame>
      </mc:Choice>
      <mc:Fallback xmlns="">
        <xdr:sp macro="" textlink="">
          <xdr:nvSpPr>
            <xdr:cNvPr id="0" name=""/>
            <xdr:cNvSpPr>
              <a:spLocks noTextEdit="1"/>
            </xdr:cNvSpPr>
          </xdr:nvSpPr>
          <xdr:spPr>
            <a:xfrm>
              <a:off x="20967096" y="2820813"/>
              <a:ext cx="1759857" cy="210194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xdr:colOff>
      <xdr:row>6</xdr:row>
      <xdr:rowOff>198965</xdr:rowOff>
    </xdr:from>
    <xdr:to>
      <xdr:col>7</xdr:col>
      <xdr:colOff>653143</xdr:colOff>
      <xdr:row>16</xdr:row>
      <xdr:rowOff>21165</xdr:rowOff>
    </xdr:to>
    <xdr:sp macro="" textlink="">
      <xdr:nvSpPr>
        <xdr:cNvPr id="77" name="Rounded Rectangle 76">
          <a:extLst>
            <a:ext uri="{FF2B5EF4-FFF2-40B4-BE49-F238E27FC236}">
              <a16:creationId xmlns:a16="http://schemas.microsoft.com/office/drawing/2014/main" id="{FADDB97E-200F-AA43-9DC8-736035856B69}"/>
            </a:ext>
          </a:extLst>
        </xdr:cNvPr>
        <xdr:cNvSpPr/>
      </xdr:nvSpPr>
      <xdr:spPr>
        <a:xfrm>
          <a:off x="2772834" y="1468965"/>
          <a:ext cx="3955142" cy="1938867"/>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ea typeface="+mn-ea"/>
              <a:cs typeface="Calibri" panose="020F0502020204030204" pitchFamily="34" charset="0"/>
            </a:rPr>
            <a:t>Sales</a:t>
          </a:r>
        </a:p>
      </xdr:txBody>
    </xdr:sp>
    <xdr:clientData/>
  </xdr:twoCellAnchor>
  <xdr:twoCellAnchor editAs="oneCell">
    <xdr:from>
      <xdr:col>18</xdr:col>
      <xdr:colOff>81644</xdr:colOff>
      <xdr:row>13</xdr:row>
      <xdr:rowOff>81641</xdr:rowOff>
    </xdr:from>
    <xdr:to>
      <xdr:col>21</xdr:col>
      <xdr:colOff>45359</xdr:colOff>
      <xdr:row>21</xdr:row>
      <xdr:rowOff>169333</xdr:rowOff>
    </xdr:to>
    <mc:AlternateContent xmlns:mc="http://schemas.openxmlformats.org/markup-compatibility/2006" xmlns:a14="http://schemas.microsoft.com/office/drawing/2010/main">
      <mc:Choice Requires="a14">
        <xdr:graphicFrame macro="">
          <xdr:nvGraphicFramePr>
            <xdr:cNvPr id="78" name="Product Category 1">
              <a:extLst>
                <a:ext uri="{FF2B5EF4-FFF2-40B4-BE49-F238E27FC236}">
                  <a16:creationId xmlns:a16="http://schemas.microsoft.com/office/drawing/2014/main" id="{E5ABE521-3943-D849-9501-DA0D88377237}"/>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16612811" y="2833308"/>
              <a:ext cx="2440215" cy="17810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308429</xdr:colOff>
      <xdr:row>23</xdr:row>
      <xdr:rowOff>72570</xdr:rowOff>
    </xdr:from>
    <xdr:to>
      <xdr:col>25</xdr:col>
      <xdr:colOff>453571</xdr:colOff>
      <xdr:row>27</xdr:row>
      <xdr:rowOff>54427</xdr:rowOff>
    </xdr:to>
    <xdr:sp macro="[0]!Refresh_Report" textlink="">
      <xdr:nvSpPr>
        <xdr:cNvPr id="79" name="Bevel 78">
          <a:extLst>
            <a:ext uri="{FF2B5EF4-FFF2-40B4-BE49-F238E27FC236}">
              <a16:creationId xmlns:a16="http://schemas.microsoft.com/office/drawing/2014/main" id="{7E70B689-EF7F-6943-8895-F2B5A89F21D8}"/>
            </a:ext>
          </a:extLst>
        </xdr:cNvPr>
        <xdr:cNvSpPr/>
      </xdr:nvSpPr>
      <xdr:spPr>
        <a:xfrm>
          <a:off x="21154572" y="4662713"/>
          <a:ext cx="1814285" cy="780143"/>
        </a:xfrm>
        <a:prstGeom prst="bevel">
          <a:avLst/>
        </a:prstGeom>
        <a:solidFill>
          <a:schemeClr val="tx2">
            <a:lumMod val="90000"/>
            <a:lumOff val="1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bg1"/>
              </a:solidFill>
            </a:rPr>
            <a:t>Refresh</a:t>
          </a:r>
          <a:r>
            <a:rPr lang="en-GB" sz="1400" b="1" baseline="0">
              <a:solidFill>
                <a:schemeClr val="bg1"/>
              </a:solidFill>
            </a:rPr>
            <a:t> Dashboard</a:t>
          </a:r>
          <a:endParaRPr lang="en-GB" sz="1400" b="1">
            <a:solidFill>
              <a:schemeClr val="bg1"/>
            </a:solidFill>
          </a:endParaRPr>
        </a:p>
      </xdr:txBody>
    </xdr:sp>
    <xdr:clientData/>
  </xdr:twoCellAnchor>
  <xdr:twoCellAnchor editAs="oneCell">
    <xdr:from>
      <xdr:col>18</xdr:col>
      <xdr:colOff>84666</xdr:colOff>
      <xdr:row>21</xdr:row>
      <xdr:rowOff>169333</xdr:rowOff>
    </xdr:from>
    <xdr:to>
      <xdr:col>21</xdr:col>
      <xdr:colOff>63499</xdr:colOff>
      <xdr:row>27</xdr:row>
      <xdr:rowOff>105833</xdr:rowOff>
    </xdr:to>
    <mc:AlternateContent xmlns:mc="http://schemas.openxmlformats.org/markup-compatibility/2006" xmlns:a14="http://schemas.microsoft.com/office/drawing/2010/main">
      <mc:Choice Requires="a14">
        <xdr:graphicFrame macro="">
          <xdr:nvGraphicFramePr>
            <xdr:cNvPr id="86" name="SLA_Met_Status 1">
              <a:extLst>
                <a:ext uri="{FF2B5EF4-FFF2-40B4-BE49-F238E27FC236}">
                  <a16:creationId xmlns:a16="http://schemas.microsoft.com/office/drawing/2014/main" id="{31242531-8D66-DA4D-9A75-936B150353B1}"/>
                </a:ext>
              </a:extLst>
            </xdr:cNvPr>
            <xdr:cNvGraphicFramePr/>
          </xdr:nvGraphicFramePr>
          <xdr:xfrm>
            <a:off x="0" y="0"/>
            <a:ext cx="0" cy="0"/>
          </xdr:xfrm>
          <a:graphic>
            <a:graphicData uri="http://schemas.microsoft.com/office/drawing/2010/slicer">
              <sle:slicer xmlns:sle="http://schemas.microsoft.com/office/drawing/2010/slicer" name="SLA_Met_Status 1"/>
            </a:graphicData>
          </a:graphic>
        </xdr:graphicFrame>
      </mc:Choice>
      <mc:Fallback xmlns="">
        <xdr:sp macro="" textlink="">
          <xdr:nvSpPr>
            <xdr:cNvPr id="0" name=""/>
            <xdr:cNvSpPr>
              <a:spLocks noTextEdit="1"/>
            </xdr:cNvSpPr>
          </xdr:nvSpPr>
          <xdr:spPr>
            <a:xfrm>
              <a:off x="16615833" y="4614333"/>
              <a:ext cx="2455333" cy="1206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677333</xdr:colOff>
      <xdr:row>38</xdr:row>
      <xdr:rowOff>63500</xdr:rowOff>
    </xdr:from>
    <xdr:to>
      <xdr:col>13</xdr:col>
      <xdr:colOff>359833</xdr:colOff>
      <xdr:row>41</xdr:row>
      <xdr:rowOff>127000</xdr:rowOff>
    </xdr:to>
    <xdr:sp macro="" textlink="FeedbackQuality!$B$2">
      <xdr:nvSpPr>
        <xdr:cNvPr id="87" name="TextBox 86">
          <a:extLst>
            <a:ext uri="{FF2B5EF4-FFF2-40B4-BE49-F238E27FC236}">
              <a16:creationId xmlns:a16="http://schemas.microsoft.com/office/drawing/2014/main" id="{AB01D115-4525-08EB-6761-A13E7CC3C22C}"/>
            </a:ext>
          </a:extLst>
        </xdr:cNvPr>
        <xdr:cNvSpPr txBox="1"/>
      </xdr:nvSpPr>
      <xdr:spPr>
        <a:xfrm>
          <a:off x="9228666" y="8106833"/>
          <a:ext cx="2159000" cy="698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BF4895-AD26-194A-A4F8-F1DC9103CE0A}" type="TxLink">
            <a:rPr lang="en-US" sz="3600" b="1" i="0" u="none" strike="noStrike">
              <a:solidFill>
                <a:schemeClr val="tx2">
                  <a:lumMod val="90000"/>
                  <a:lumOff val="10000"/>
                </a:schemeClr>
              </a:solidFill>
              <a:latin typeface="Calibri" panose="020F0502020204030204" pitchFamily="34" charset="0"/>
              <a:cs typeface="Calibri" panose="020F0502020204030204" pitchFamily="34" charset="0"/>
            </a:rPr>
            <a:pPr algn="ctr"/>
            <a:t>5%</a:t>
          </a:fld>
          <a:endParaRPr lang="en-GB" sz="3200" b="1">
            <a:solidFill>
              <a:schemeClr val="tx2">
                <a:lumMod val="90000"/>
                <a:lumOff val="10000"/>
              </a:schemeClr>
            </a:solidFill>
            <a:latin typeface="Calibri" panose="020F0502020204030204" pitchFamily="34" charset="0"/>
            <a:cs typeface="Calibri" panose="020F0502020204030204" pitchFamily="34" charset="0"/>
          </a:endParaRPr>
        </a:p>
      </xdr:txBody>
    </xdr:sp>
    <xdr:clientData/>
  </xdr:twoCellAnchor>
  <xdr:twoCellAnchor>
    <xdr:from>
      <xdr:col>9</xdr:col>
      <xdr:colOff>804333</xdr:colOff>
      <xdr:row>47</xdr:row>
      <xdr:rowOff>127000</xdr:rowOff>
    </xdr:from>
    <xdr:to>
      <xdr:col>14</xdr:col>
      <xdr:colOff>42333</xdr:colOff>
      <xdr:row>51</xdr:row>
      <xdr:rowOff>105833</xdr:rowOff>
    </xdr:to>
    <xdr:sp macro="" textlink="">
      <xdr:nvSpPr>
        <xdr:cNvPr id="88" name="TextBox 87">
          <a:extLst>
            <a:ext uri="{FF2B5EF4-FFF2-40B4-BE49-F238E27FC236}">
              <a16:creationId xmlns:a16="http://schemas.microsoft.com/office/drawing/2014/main" id="{BD4562B2-2459-883D-856B-FCAA60EE2683}"/>
            </a:ext>
          </a:extLst>
        </xdr:cNvPr>
        <xdr:cNvSpPr txBox="1"/>
      </xdr:nvSpPr>
      <xdr:spPr>
        <a:xfrm>
          <a:off x="8530166" y="10075333"/>
          <a:ext cx="3365500" cy="825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400" b="1">
              <a:solidFill>
                <a:schemeClr val="tx2">
                  <a:lumMod val="90000"/>
                  <a:lumOff val="10000"/>
                </a:schemeClr>
              </a:solidFill>
              <a:latin typeface="Calibri" panose="020F0502020204030204" pitchFamily="34" charset="0"/>
              <a:cs typeface="Calibri" panose="020F0502020204030204" pitchFamily="34" charset="0"/>
            </a:rPr>
            <a:t>% Feedback Missing</a:t>
          </a:r>
        </a:p>
      </xdr:txBody>
    </xdr:sp>
    <xdr:clientData/>
  </xdr:twoCellAnchor>
  <xdr:twoCellAnchor>
    <xdr:from>
      <xdr:col>22</xdr:col>
      <xdr:colOff>84666</xdr:colOff>
      <xdr:row>33</xdr:row>
      <xdr:rowOff>127000</xdr:rowOff>
    </xdr:from>
    <xdr:to>
      <xdr:col>23</xdr:col>
      <xdr:colOff>148166</xdr:colOff>
      <xdr:row>36</xdr:row>
      <xdr:rowOff>21166</xdr:rowOff>
    </xdr:to>
    <xdr:sp macro="" textlink="SLAstatus!$B$3">
      <xdr:nvSpPr>
        <xdr:cNvPr id="90" name="TextBox 89">
          <a:extLst>
            <a:ext uri="{FF2B5EF4-FFF2-40B4-BE49-F238E27FC236}">
              <a16:creationId xmlns:a16="http://schemas.microsoft.com/office/drawing/2014/main" id="{2C0F2948-8576-041E-7D63-4403AFC9408F}"/>
            </a:ext>
          </a:extLst>
        </xdr:cNvPr>
        <xdr:cNvSpPr txBox="1"/>
      </xdr:nvSpPr>
      <xdr:spPr>
        <a:xfrm>
          <a:off x="19917833" y="7112000"/>
          <a:ext cx="889000" cy="529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3760D2-87B6-344C-A602-BBAE86F8DFFB}" type="TxLink">
            <a:rPr lang="en-US" sz="2800" b="1" i="0" u="none" strike="noStrike">
              <a:solidFill>
                <a:srgbClr val="EA7131"/>
              </a:solidFill>
              <a:latin typeface="Calibri" panose="020F0502020204030204" pitchFamily="34" charset="0"/>
              <a:cs typeface="Calibri" panose="020F0502020204030204" pitchFamily="34" charset="0"/>
            </a:rPr>
            <a:pPr algn="ctr"/>
            <a:t>15%</a:t>
          </a:fld>
          <a:endParaRPr lang="en-GB" sz="2400" b="1">
            <a:solidFill>
              <a:srgbClr val="EA7131"/>
            </a:solidFill>
            <a:latin typeface="Calibri" panose="020F0502020204030204" pitchFamily="34" charset="0"/>
            <a:cs typeface="Calibri" panose="020F0502020204030204" pitchFamily="34" charset="0"/>
          </a:endParaRPr>
        </a:p>
      </xdr:txBody>
    </xdr:sp>
    <xdr:clientData/>
  </xdr:twoCellAnchor>
  <xdr:twoCellAnchor>
    <xdr:from>
      <xdr:col>21</xdr:col>
      <xdr:colOff>42332</xdr:colOff>
      <xdr:row>39</xdr:row>
      <xdr:rowOff>127001</xdr:rowOff>
    </xdr:from>
    <xdr:to>
      <xdr:col>24</xdr:col>
      <xdr:colOff>211666</xdr:colOff>
      <xdr:row>42</xdr:row>
      <xdr:rowOff>42334</xdr:rowOff>
    </xdr:to>
    <xdr:sp macro="" textlink="">
      <xdr:nvSpPr>
        <xdr:cNvPr id="91" name="TextBox 90">
          <a:extLst>
            <a:ext uri="{FF2B5EF4-FFF2-40B4-BE49-F238E27FC236}">
              <a16:creationId xmlns:a16="http://schemas.microsoft.com/office/drawing/2014/main" id="{58FBF057-4206-0E8B-7AD8-A8A9DF26E760}"/>
            </a:ext>
          </a:extLst>
        </xdr:cNvPr>
        <xdr:cNvSpPr txBox="1"/>
      </xdr:nvSpPr>
      <xdr:spPr>
        <a:xfrm>
          <a:off x="19049999" y="8382001"/>
          <a:ext cx="2645834" cy="550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rgbClr val="EA7131"/>
              </a:solidFill>
              <a:latin typeface="Calibri" panose="020F0502020204030204" pitchFamily="34" charset="0"/>
              <a:cs typeface="Calibri" panose="020F0502020204030204" pitchFamily="34" charset="0"/>
            </a:rPr>
            <a:t>% SLA fail</a:t>
          </a:r>
          <a:r>
            <a:rPr lang="en-GB" sz="1600" b="1" baseline="0">
              <a:solidFill>
                <a:srgbClr val="EA7131"/>
              </a:solidFill>
              <a:latin typeface="Calibri" panose="020F0502020204030204" pitchFamily="34" charset="0"/>
              <a:cs typeface="Calibri" panose="020F0502020204030204" pitchFamily="34" charset="0"/>
            </a:rPr>
            <a:t> : Late Delivery</a:t>
          </a:r>
          <a:endParaRPr lang="en-GB" sz="1600" b="1">
            <a:solidFill>
              <a:srgbClr val="EA7131"/>
            </a:solidFill>
            <a:latin typeface="Calibri" panose="020F0502020204030204" pitchFamily="34" charset="0"/>
            <a:cs typeface="Calibri" panose="020F0502020204030204" pitchFamily="34" charset="0"/>
          </a:endParaRPr>
        </a:p>
      </xdr:txBody>
    </xdr:sp>
    <xdr:clientData/>
  </xdr:twoCellAnchor>
  <xdr:twoCellAnchor>
    <xdr:from>
      <xdr:col>20</xdr:col>
      <xdr:colOff>740834</xdr:colOff>
      <xdr:row>51</xdr:row>
      <xdr:rowOff>105833</xdr:rowOff>
    </xdr:from>
    <xdr:to>
      <xdr:col>24</xdr:col>
      <xdr:colOff>592667</xdr:colOff>
      <xdr:row>54</xdr:row>
      <xdr:rowOff>135466</xdr:rowOff>
    </xdr:to>
    <xdr:sp macro="" textlink="">
      <xdr:nvSpPr>
        <xdr:cNvPr id="92" name="TextBox 91">
          <a:extLst>
            <a:ext uri="{FF2B5EF4-FFF2-40B4-BE49-F238E27FC236}">
              <a16:creationId xmlns:a16="http://schemas.microsoft.com/office/drawing/2014/main" id="{CDC6CBE3-4770-443D-6DC8-16DD9DB5508F}"/>
            </a:ext>
          </a:extLst>
        </xdr:cNvPr>
        <xdr:cNvSpPr txBox="1"/>
      </xdr:nvSpPr>
      <xdr:spPr>
        <a:xfrm>
          <a:off x="18923001" y="10900833"/>
          <a:ext cx="3153833" cy="664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tx2">
                  <a:lumMod val="90000"/>
                  <a:lumOff val="10000"/>
                </a:schemeClr>
              </a:solidFill>
              <a:latin typeface="Calibri" panose="020F0502020204030204" pitchFamily="34" charset="0"/>
              <a:cs typeface="Calibri" panose="020F0502020204030204" pitchFamily="34" charset="0"/>
            </a:rPr>
            <a:t>% SLA data</a:t>
          </a:r>
          <a:r>
            <a:rPr lang="en-GB" sz="1600" b="1" baseline="0">
              <a:solidFill>
                <a:schemeClr val="tx2">
                  <a:lumMod val="90000"/>
                  <a:lumOff val="10000"/>
                </a:schemeClr>
              </a:solidFill>
              <a:latin typeface="Calibri" panose="020F0502020204030204" pitchFamily="34" charset="0"/>
              <a:cs typeface="Calibri" panose="020F0502020204030204" pitchFamily="34" charset="0"/>
            </a:rPr>
            <a:t>  / Delivery time missing</a:t>
          </a:r>
          <a:endParaRPr lang="en-GB" sz="1600" b="1">
            <a:solidFill>
              <a:schemeClr val="tx2">
                <a:lumMod val="90000"/>
                <a:lumOff val="10000"/>
              </a:schemeClr>
            </a:solidFill>
            <a:latin typeface="Calibri" panose="020F0502020204030204" pitchFamily="34" charset="0"/>
            <a:cs typeface="Calibri" panose="020F0502020204030204" pitchFamily="34" charset="0"/>
          </a:endParaRPr>
        </a:p>
      </xdr:txBody>
    </xdr:sp>
    <xdr:clientData/>
  </xdr:twoCellAnchor>
  <xdr:twoCellAnchor>
    <xdr:from>
      <xdr:col>22</xdr:col>
      <xdr:colOff>105833</xdr:colOff>
      <xdr:row>46</xdr:row>
      <xdr:rowOff>0</xdr:rowOff>
    </xdr:from>
    <xdr:to>
      <xdr:col>23</xdr:col>
      <xdr:colOff>190500</xdr:colOff>
      <xdr:row>48</xdr:row>
      <xdr:rowOff>84667</xdr:rowOff>
    </xdr:to>
    <xdr:sp macro="" textlink="SLAstatus!$B$4">
      <xdr:nvSpPr>
        <xdr:cNvPr id="93" name="TextBox 92">
          <a:extLst>
            <a:ext uri="{FF2B5EF4-FFF2-40B4-BE49-F238E27FC236}">
              <a16:creationId xmlns:a16="http://schemas.microsoft.com/office/drawing/2014/main" id="{570E139B-C8EF-558F-914F-F08AF6108169}"/>
            </a:ext>
          </a:extLst>
        </xdr:cNvPr>
        <xdr:cNvSpPr txBox="1"/>
      </xdr:nvSpPr>
      <xdr:spPr>
        <a:xfrm>
          <a:off x="19939000" y="9736667"/>
          <a:ext cx="910167"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A70B988-88AF-0544-9FF7-AB04C84AF07F}" type="TxLink">
            <a:rPr lang="en-US" sz="2800" b="1" i="0" u="none" strike="noStrike">
              <a:solidFill>
                <a:srgbClr val="000000"/>
              </a:solidFill>
              <a:latin typeface="Aptos Narrow"/>
            </a:rPr>
            <a:pPr algn="ctr"/>
            <a:t>12%</a:t>
          </a:fld>
          <a:endParaRPr lang="en-GB" sz="2400" b="1"/>
        </a:p>
      </xdr:txBody>
    </xdr:sp>
    <xdr:clientData/>
  </xdr:twoCellAnchor>
  <xdr:twoCellAnchor>
    <xdr:from>
      <xdr:col>3</xdr:col>
      <xdr:colOff>296335</xdr:colOff>
      <xdr:row>9</xdr:row>
      <xdr:rowOff>135466</xdr:rowOff>
    </xdr:from>
    <xdr:to>
      <xdr:col>8</xdr:col>
      <xdr:colOff>338667</xdr:colOff>
      <xdr:row>14</xdr:row>
      <xdr:rowOff>42334</xdr:rowOff>
    </xdr:to>
    <xdr:sp macro="" textlink="AvgSatisfaction!$K$7">
      <xdr:nvSpPr>
        <xdr:cNvPr id="94" name="TextBox 93">
          <a:extLst>
            <a:ext uri="{FF2B5EF4-FFF2-40B4-BE49-F238E27FC236}">
              <a16:creationId xmlns:a16="http://schemas.microsoft.com/office/drawing/2014/main" id="{511E7363-4A5A-63DF-3867-F1F7B93957C4}"/>
            </a:ext>
          </a:extLst>
        </xdr:cNvPr>
        <xdr:cNvSpPr txBox="1"/>
      </xdr:nvSpPr>
      <xdr:spPr>
        <a:xfrm>
          <a:off x="3069168" y="2040466"/>
          <a:ext cx="4169832" cy="965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1365659-B343-4F43-B8DA-326733CA85B7}" type="TxLink">
            <a:rPr lang="en-US"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rPr>
            <a:pPr marL="0" indent="0"/>
            <a:t> $314,615 </a:t>
          </a:fld>
          <a:endParaRPr lang="en-GB"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endParaRPr>
        </a:p>
      </xdr:txBody>
    </xdr:sp>
    <xdr:clientData/>
  </xdr:twoCellAnchor>
  <xdr:twoCellAnchor>
    <xdr:from>
      <xdr:col>3</xdr:col>
      <xdr:colOff>498927</xdr:colOff>
      <xdr:row>21</xdr:row>
      <xdr:rowOff>51810</xdr:rowOff>
    </xdr:from>
    <xdr:to>
      <xdr:col>5</xdr:col>
      <xdr:colOff>241904</xdr:colOff>
      <xdr:row>25</xdr:row>
      <xdr:rowOff>405</xdr:rowOff>
    </xdr:to>
    <xdr:sp macro="" textlink="AvgSatisfaction!$B$9">
      <xdr:nvSpPr>
        <xdr:cNvPr id="98" name="TextBox 97">
          <a:extLst>
            <a:ext uri="{FF2B5EF4-FFF2-40B4-BE49-F238E27FC236}">
              <a16:creationId xmlns:a16="http://schemas.microsoft.com/office/drawing/2014/main" id="{F6995D95-411A-E84E-BF66-97EFE5236DB1}"/>
            </a:ext>
          </a:extLst>
        </xdr:cNvPr>
        <xdr:cNvSpPr txBox="1"/>
      </xdr:nvSpPr>
      <xdr:spPr>
        <a:xfrm>
          <a:off x="3292927" y="4242810"/>
          <a:ext cx="1412120" cy="746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B816E44-3BFD-844F-A91A-2CA586264778}" type="TxLink">
            <a:rPr lang="en-US"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rPr>
            <a:pPr marL="0" indent="0"/>
            <a:t>7.06</a:t>
          </a:fld>
          <a:endParaRPr lang="en-GB"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endParaRPr>
        </a:p>
      </xdr:txBody>
    </xdr:sp>
    <xdr:clientData/>
  </xdr:twoCellAnchor>
  <xdr:twoCellAnchor>
    <xdr:from>
      <xdr:col>15</xdr:col>
      <xdr:colOff>32253</xdr:colOff>
      <xdr:row>10</xdr:row>
      <xdr:rowOff>63501</xdr:rowOff>
    </xdr:from>
    <xdr:to>
      <xdr:col>18</xdr:col>
      <xdr:colOff>349753</xdr:colOff>
      <xdr:row>14</xdr:row>
      <xdr:rowOff>2</xdr:rowOff>
    </xdr:to>
    <xdr:sp macro="" textlink="AvgSatisfaction!$K$3">
      <xdr:nvSpPr>
        <xdr:cNvPr id="99" name="TextBox 98">
          <a:extLst>
            <a:ext uri="{FF2B5EF4-FFF2-40B4-BE49-F238E27FC236}">
              <a16:creationId xmlns:a16="http://schemas.microsoft.com/office/drawing/2014/main" id="{0094A50E-4D51-1144-8B96-E89256C1F84F}"/>
            </a:ext>
          </a:extLst>
        </xdr:cNvPr>
        <xdr:cNvSpPr txBox="1"/>
      </xdr:nvSpPr>
      <xdr:spPr>
        <a:xfrm>
          <a:off x="13959920" y="2180168"/>
          <a:ext cx="29210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4C88B5C-1C82-A045-9443-A28E8A195C55}" type="TxLink">
            <a:rPr lang="en-US" sz="5400" b="1" i="0" u="none" strike="noStrike">
              <a:solidFill>
                <a:schemeClr val="tx2">
                  <a:lumMod val="90000"/>
                  <a:lumOff val="10000"/>
                </a:schemeClr>
              </a:solidFill>
              <a:latin typeface="Calibri" panose="020F0502020204030204" pitchFamily="34" charset="0"/>
              <a:cs typeface="Calibri" panose="020F0502020204030204" pitchFamily="34" charset="0"/>
            </a:rPr>
            <a:pPr algn="l"/>
            <a:t>41%</a:t>
          </a:fld>
          <a:endParaRPr lang="en-GB" sz="5400" b="1" i="0" u="none" strike="noStrike">
            <a:solidFill>
              <a:schemeClr val="tx2">
                <a:lumMod val="90000"/>
                <a:lumOff val="10000"/>
              </a:schemeClr>
            </a:solidFill>
            <a:latin typeface="Calibri" panose="020F0502020204030204" pitchFamily="34" charset="0"/>
            <a:cs typeface="Calibri" panose="020F0502020204030204" pitchFamily="34" charset="0"/>
          </a:endParaRPr>
        </a:p>
      </xdr:txBody>
    </xdr:sp>
    <xdr:clientData/>
  </xdr:twoCellAnchor>
  <xdr:twoCellAnchor>
    <xdr:from>
      <xdr:col>15</xdr:col>
      <xdr:colOff>177398</xdr:colOff>
      <xdr:row>21</xdr:row>
      <xdr:rowOff>63500</xdr:rowOff>
    </xdr:from>
    <xdr:to>
      <xdr:col>16</xdr:col>
      <xdr:colOff>613832</xdr:colOff>
      <xdr:row>25</xdr:row>
      <xdr:rowOff>0</xdr:rowOff>
    </xdr:to>
    <xdr:sp macro="" textlink="AvgSatisfaction!$K$4">
      <xdr:nvSpPr>
        <xdr:cNvPr id="100" name="TextBox 99">
          <a:extLst>
            <a:ext uri="{FF2B5EF4-FFF2-40B4-BE49-F238E27FC236}">
              <a16:creationId xmlns:a16="http://schemas.microsoft.com/office/drawing/2014/main" id="{B256F089-58EA-9C41-ADC7-0A7FACA90D11}"/>
            </a:ext>
          </a:extLst>
        </xdr:cNvPr>
        <xdr:cNvSpPr txBox="1"/>
      </xdr:nvSpPr>
      <xdr:spPr>
        <a:xfrm>
          <a:off x="14105065" y="4508500"/>
          <a:ext cx="1388934"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2096F5D-A56F-2748-B8C9-9FD29C0A425E}" type="TxLink">
            <a:rPr lang="en-US"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rPr>
            <a:pPr marL="0" indent="0"/>
            <a:t>3%</a:t>
          </a:fld>
          <a:endParaRPr lang="en-GB"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endParaRPr>
        </a:p>
      </xdr:txBody>
    </xdr:sp>
    <xdr:clientData/>
  </xdr:twoCellAnchor>
  <xdr:twoCellAnchor>
    <xdr:from>
      <xdr:col>5</xdr:col>
      <xdr:colOff>257024</xdr:colOff>
      <xdr:row>21</xdr:row>
      <xdr:rowOff>65919</xdr:rowOff>
    </xdr:from>
    <xdr:to>
      <xdr:col>7</xdr:col>
      <xdr:colOff>532190</xdr:colOff>
      <xdr:row>24</xdr:row>
      <xdr:rowOff>184453</xdr:rowOff>
    </xdr:to>
    <xdr:sp macro="" textlink="">
      <xdr:nvSpPr>
        <xdr:cNvPr id="101" name="TextBox 100">
          <a:extLst>
            <a:ext uri="{FF2B5EF4-FFF2-40B4-BE49-F238E27FC236}">
              <a16:creationId xmlns:a16="http://schemas.microsoft.com/office/drawing/2014/main" id="{A943CD86-A9D4-B47C-AF93-A1F97D5723C7}"/>
            </a:ext>
          </a:extLst>
        </xdr:cNvPr>
        <xdr:cNvSpPr txBox="1"/>
      </xdr:nvSpPr>
      <xdr:spPr>
        <a:xfrm>
          <a:off x="4720167" y="4256919"/>
          <a:ext cx="1944309" cy="7172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rPr>
            <a:t>/  12</a:t>
          </a:r>
        </a:p>
      </xdr:txBody>
    </xdr:sp>
    <xdr:clientData/>
  </xdr:twoCellAnchor>
  <xdr:twoCellAnchor>
    <xdr:from>
      <xdr:col>20</xdr:col>
      <xdr:colOff>70354</xdr:colOff>
      <xdr:row>28</xdr:row>
      <xdr:rowOff>126999</xdr:rowOff>
    </xdr:from>
    <xdr:to>
      <xdr:col>25</xdr:col>
      <xdr:colOff>63499</xdr:colOff>
      <xdr:row>40</xdr:row>
      <xdr:rowOff>169333</xdr:rowOff>
    </xdr:to>
    <xdr:graphicFrame macro="">
      <xdr:nvGraphicFramePr>
        <xdr:cNvPr id="2" name="Chart 1">
          <a:extLst>
            <a:ext uri="{FF2B5EF4-FFF2-40B4-BE49-F238E27FC236}">
              <a16:creationId xmlns:a16="http://schemas.microsoft.com/office/drawing/2014/main" id="{94B08F0C-A5F7-484B-BD5E-7B26895728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112688</xdr:colOff>
      <xdr:row>40</xdr:row>
      <xdr:rowOff>190500</xdr:rowOff>
    </xdr:from>
    <xdr:to>
      <xdr:col>25</xdr:col>
      <xdr:colOff>105833</xdr:colOff>
      <xdr:row>53</xdr:row>
      <xdr:rowOff>21168</xdr:rowOff>
    </xdr:to>
    <xdr:graphicFrame macro="">
      <xdr:nvGraphicFramePr>
        <xdr:cNvPr id="4" name="Chart 3">
          <a:extLst>
            <a:ext uri="{FF2B5EF4-FFF2-40B4-BE49-F238E27FC236}">
              <a16:creationId xmlns:a16="http://schemas.microsoft.com/office/drawing/2014/main" id="{A2336B44-108E-CB46-9FE0-61D729A8B9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355600</xdr:colOff>
      <xdr:row>10</xdr:row>
      <xdr:rowOff>31750</xdr:rowOff>
    </xdr:from>
    <xdr:to>
      <xdr:col>8</xdr:col>
      <xdr:colOff>101600</xdr:colOff>
      <xdr:row>23</xdr:row>
      <xdr:rowOff>133350</xdr:rowOff>
    </xdr:to>
    <xdr:graphicFrame macro="">
      <xdr:nvGraphicFramePr>
        <xdr:cNvPr id="4" name="Chart 3">
          <a:extLst>
            <a:ext uri="{FF2B5EF4-FFF2-40B4-BE49-F238E27FC236}">
              <a16:creationId xmlns:a16="http://schemas.microsoft.com/office/drawing/2014/main" id="{73B7A3DC-791B-206B-3A2D-A34F348DB3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444500</xdr:colOff>
      <xdr:row>17</xdr:row>
      <xdr:rowOff>114300</xdr:rowOff>
    </xdr:from>
    <xdr:to>
      <xdr:col>9</xdr:col>
      <xdr:colOff>1447800</xdr:colOff>
      <xdr:row>26</xdr:row>
      <xdr:rowOff>101600</xdr:rowOff>
    </xdr:to>
    <mc:AlternateContent xmlns:mc="http://schemas.openxmlformats.org/markup-compatibility/2006" xmlns:a14="http://schemas.microsoft.com/office/drawing/2010/main">
      <mc:Choice Requires="a14">
        <xdr:graphicFrame macro="">
          <xdr:nvGraphicFramePr>
            <xdr:cNvPr id="5" name="Product Category">
              <a:extLst>
                <a:ext uri="{FF2B5EF4-FFF2-40B4-BE49-F238E27FC236}">
                  <a16:creationId xmlns:a16="http://schemas.microsoft.com/office/drawing/2014/main" id="{51AD8B57-C148-B995-1A0F-6451D53F6BDD}"/>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9474200" y="3568700"/>
              <a:ext cx="1828800" cy="18161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584200</xdr:colOff>
      <xdr:row>22</xdr:row>
      <xdr:rowOff>177800</xdr:rowOff>
    </xdr:from>
    <xdr:to>
      <xdr:col>2</xdr:col>
      <xdr:colOff>469900</xdr:colOff>
      <xdr:row>28</xdr:row>
      <xdr:rowOff>177800</xdr:rowOff>
    </xdr:to>
    <mc:AlternateContent xmlns:mc="http://schemas.openxmlformats.org/markup-compatibility/2006" xmlns:a14="http://schemas.microsoft.com/office/drawing/2010/main">
      <mc:Choice Requires="a14">
        <xdr:graphicFrame macro="">
          <xdr:nvGraphicFramePr>
            <xdr:cNvPr id="6" name="Gender_Clean">
              <a:extLst>
                <a:ext uri="{FF2B5EF4-FFF2-40B4-BE49-F238E27FC236}">
                  <a16:creationId xmlns:a16="http://schemas.microsoft.com/office/drawing/2014/main" id="{5FA401EC-2A89-8312-9471-18C61C1C4512}"/>
                </a:ext>
              </a:extLst>
            </xdr:cNvPr>
            <xdr:cNvGraphicFramePr/>
          </xdr:nvGraphicFramePr>
          <xdr:xfrm>
            <a:off x="0" y="0"/>
            <a:ext cx="0" cy="0"/>
          </xdr:xfrm>
          <a:graphic>
            <a:graphicData uri="http://schemas.microsoft.com/office/drawing/2010/slicer">
              <sle:slicer xmlns:sle="http://schemas.microsoft.com/office/drawing/2010/slicer" name="Gender_Clean"/>
            </a:graphicData>
          </a:graphic>
        </xdr:graphicFrame>
      </mc:Choice>
      <mc:Fallback xmlns="">
        <xdr:sp macro="" textlink="">
          <xdr:nvSpPr>
            <xdr:cNvPr id="0" name=""/>
            <xdr:cNvSpPr>
              <a:spLocks noTextEdit="1"/>
            </xdr:cNvSpPr>
          </xdr:nvSpPr>
          <xdr:spPr>
            <a:xfrm>
              <a:off x="1955800" y="4648200"/>
              <a:ext cx="1828800" cy="1219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292100</xdr:colOff>
      <xdr:row>12</xdr:row>
      <xdr:rowOff>190500</xdr:rowOff>
    </xdr:from>
    <xdr:to>
      <xdr:col>2</xdr:col>
      <xdr:colOff>177800</xdr:colOff>
      <xdr:row>21</xdr:row>
      <xdr:rowOff>152400</xdr:rowOff>
    </xdr:to>
    <mc:AlternateContent xmlns:mc="http://schemas.openxmlformats.org/markup-compatibility/2006" xmlns:a14="http://schemas.microsoft.com/office/drawing/2010/main">
      <mc:Choice Requires="a14">
        <xdr:graphicFrame macro="">
          <xdr:nvGraphicFramePr>
            <xdr:cNvPr id="8" name="Customer Age_Group">
              <a:extLst>
                <a:ext uri="{FF2B5EF4-FFF2-40B4-BE49-F238E27FC236}">
                  <a16:creationId xmlns:a16="http://schemas.microsoft.com/office/drawing/2014/main" id="{3DCFD3A0-AE18-37CF-7B00-7AE8A54D4F9C}"/>
                </a:ext>
              </a:extLst>
            </xdr:cNvPr>
            <xdr:cNvGraphicFramePr/>
          </xdr:nvGraphicFramePr>
          <xdr:xfrm>
            <a:off x="0" y="0"/>
            <a:ext cx="0" cy="0"/>
          </xdr:xfrm>
          <a:graphic>
            <a:graphicData uri="http://schemas.microsoft.com/office/drawing/2010/slicer">
              <sle:slicer xmlns:sle="http://schemas.microsoft.com/office/drawing/2010/slicer" name="Customer Age_Group"/>
            </a:graphicData>
          </a:graphic>
        </xdr:graphicFrame>
      </mc:Choice>
      <mc:Fallback xmlns="">
        <xdr:sp macro="" textlink="">
          <xdr:nvSpPr>
            <xdr:cNvPr id="0" name=""/>
            <xdr:cNvSpPr>
              <a:spLocks noTextEdit="1"/>
            </xdr:cNvSpPr>
          </xdr:nvSpPr>
          <xdr:spPr>
            <a:xfrm>
              <a:off x="1663700" y="2628900"/>
              <a:ext cx="1828800" cy="1790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825500</xdr:colOff>
      <xdr:row>25</xdr:row>
      <xdr:rowOff>127000</xdr:rowOff>
    </xdr:from>
    <xdr:to>
      <xdr:col>7</xdr:col>
      <xdr:colOff>76200</xdr:colOff>
      <xdr:row>31</xdr:row>
      <xdr:rowOff>139700</xdr:rowOff>
    </xdr:to>
    <mc:AlternateContent xmlns:mc="http://schemas.openxmlformats.org/markup-compatibility/2006" xmlns:a14="http://schemas.microsoft.com/office/drawing/2010/main">
      <mc:Choice Requires="a14">
        <xdr:graphicFrame macro="">
          <xdr:nvGraphicFramePr>
            <xdr:cNvPr id="12" name="Customer Service Interaction_Clean">
              <a:extLst>
                <a:ext uri="{FF2B5EF4-FFF2-40B4-BE49-F238E27FC236}">
                  <a16:creationId xmlns:a16="http://schemas.microsoft.com/office/drawing/2014/main" id="{D86234DC-39B0-4066-3F40-ACDCA30FCCED}"/>
                </a:ext>
              </a:extLst>
            </xdr:cNvPr>
            <xdr:cNvGraphicFramePr/>
          </xdr:nvGraphicFramePr>
          <xdr:xfrm>
            <a:off x="0" y="0"/>
            <a:ext cx="0" cy="0"/>
          </xdr:xfrm>
          <a:graphic>
            <a:graphicData uri="http://schemas.microsoft.com/office/drawing/2010/slicer">
              <sle:slicer xmlns:sle="http://schemas.microsoft.com/office/drawing/2010/slicer" name="Customer Service Interaction_Clean"/>
            </a:graphicData>
          </a:graphic>
        </xdr:graphicFrame>
      </mc:Choice>
      <mc:Fallback xmlns="">
        <xdr:sp macro="" textlink="">
          <xdr:nvSpPr>
            <xdr:cNvPr id="0" name=""/>
            <xdr:cNvSpPr>
              <a:spLocks noTextEdit="1"/>
            </xdr:cNvSpPr>
          </xdr:nvSpPr>
          <xdr:spPr>
            <a:xfrm>
              <a:off x="5918200" y="5207000"/>
              <a:ext cx="2362200" cy="1231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508000</xdr:colOff>
      <xdr:row>3</xdr:row>
      <xdr:rowOff>190500</xdr:rowOff>
    </xdr:from>
    <xdr:to>
      <xdr:col>5</xdr:col>
      <xdr:colOff>558800</xdr:colOff>
      <xdr:row>5</xdr:row>
      <xdr:rowOff>127000</xdr:rowOff>
    </xdr:to>
    <xdr:sp macro="[0]!Refresh_Report" textlink="">
      <xdr:nvSpPr>
        <xdr:cNvPr id="15" name="Bevel 14">
          <a:extLst>
            <a:ext uri="{FF2B5EF4-FFF2-40B4-BE49-F238E27FC236}">
              <a16:creationId xmlns:a16="http://schemas.microsoft.com/office/drawing/2014/main" id="{1A2935D9-6219-A586-2C6A-3ECF249D86D6}"/>
            </a:ext>
          </a:extLst>
        </xdr:cNvPr>
        <xdr:cNvSpPr/>
      </xdr:nvSpPr>
      <xdr:spPr>
        <a:xfrm>
          <a:off x="5600700" y="800100"/>
          <a:ext cx="1511300" cy="342900"/>
        </a:xfrm>
        <a:prstGeom prst="bevel">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2">
                  <a:lumMod val="25000"/>
                  <a:lumOff val="75000"/>
                </a:schemeClr>
              </a:solidFill>
            </a:rPr>
            <a:t>Refresh</a:t>
          </a:r>
          <a:r>
            <a:rPr lang="en-GB" sz="1200" b="1" baseline="0">
              <a:solidFill>
                <a:schemeClr val="tx2">
                  <a:lumMod val="25000"/>
                  <a:lumOff val="75000"/>
                </a:schemeClr>
              </a:solidFill>
            </a:rPr>
            <a:t> </a:t>
          </a:r>
          <a:r>
            <a:rPr lang="en-GB" sz="1100" b="1" baseline="0">
              <a:solidFill>
                <a:schemeClr val="tx2">
                  <a:lumMod val="25000"/>
                  <a:lumOff val="75000"/>
                </a:schemeClr>
              </a:solidFill>
            </a:rPr>
            <a:t>Dashboard</a:t>
          </a:r>
          <a:endParaRPr lang="en-GB" sz="1100" b="1">
            <a:solidFill>
              <a:schemeClr val="tx2">
                <a:lumMod val="25000"/>
                <a:lumOff val="75000"/>
              </a:schemeClr>
            </a:solidFill>
          </a:endParaRPr>
        </a:p>
      </xdr:txBody>
    </xdr:sp>
    <xdr:clientData/>
  </xdr:twoCellAnchor>
  <xdr:twoCellAnchor editAs="oneCell">
    <xdr:from>
      <xdr:col>8</xdr:col>
      <xdr:colOff>749300</xdr:colOff>
      <xdr:row>9</xdr:row>
      <xdr:rowOff>165100</xdr:rowOff>
    </xdr:from>
    <xdr:to>
      <xdr:col>9</xdr:col>
      <xdr:colOff>1752600</xdr:colOff>
      <xdr:row>15</xdr:row>
      <xdr:rowOff>152400</xdr:rowOff>
    </xdr:to>
    <mc:AlternateContent xmlns:mc="http://schemas.openxmlformats.org/markup-compatibility/2006" xmlns:a14="http://schemas.microsoft.com/office/drawing/2010/main">
      <mc:Choice Requires="a14">
        <xdr:graphicFrame macro="">
          <xdr:nvGraphicFramePr>
            <xdr:cNvPr id="19" name="SLA_Met_Status">
              <a:extLst>
                <a:ext uri="{FF2B5EF4-FFF2-40B4-BE49-F238E27FC236}">
                  <a16:creationId xmlns:a16="http://schemas.microsoft.com/office/drawing/2014/main" id="{04B950E8-4A41-CD63-7111-AE3FC883F6C7}"/>
                </a:ext>
              </a:extLst>
            </xdr:cNvPr>
            <xdr:cNvGraphicFramePr/>
          </xdr:nvGraphicFramePr>
          <xdr:xfrm>
            <a:off x="0" y="0"/>
            <a:ext cx="0" cy="0"/>
          </xdr:xfrm>
          <a:graphic>
            <a:graphicData uri="http://schemas.microsoft.com/office/drawing/2010/slicer">
              <sle:slicer xmlns:sle="http://schemas.microsoft.com/office/drawing/2010/slicer" name="SLA_Met_Status"/>
            </a:graphicData>
          </a:graphic>
        </xdr:graphicFrame>
      </mc:Choice>
      <mc:Fallback xmlns="">
        <xdr:sp macro="" textlink="">
          <xdr:nvSpPr>
            <xdr:cNvPr id="0" name=""/>
            <xdr:cNvSpPr>
              <a:spLocks noTextEdit="1"/>
            </xdr:cNvSpPr>
          </xdr:nvSpPr>
          <xdr:spPr>
            <a:xfrm>
              <a:off x="9779000" y="1993900"/>
              <a:ext cx="1828800" cy="1206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10</xdr:row>
      <xdr:rowOff>31750</xdr:rowOff>
    </xdr:from>
    <xdr:to>
      <xdr:col>8</xdr:col>
      <xdr:colOff>444500</xdr:colOff>
      <xdr:row>23</xdr:row>
      <xdr:rowOff>133350</xdr:rowOff>
    </xdr:to>
    <xdr:graphicFrame macro="">
      <xdr:nvGraphicFramePr>
        <xdr:cNvPr id="3" name="Chart 2">
          <a:extLst>
            <a:ext uri="{FF2B5EF4-FFF2-40B4-BE49-F238E27FC236}">
              <a16:creationId xmlns:a16="http://schemas.microsoft.com/office/drawing/2014/main" id="{C242682E-B79B-5A95-0EE2-E80F665488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1054100</xdr:colOff>
      <xdr:row>8</xdr:row>
      <xdr:rowOff>146050</xdr:rowOff>
    </xdr:from>
    <xdr:to>
      <xdr:col>8</xdr:col>
      <xdr:colOff>38100</xdr:colOff>
      <xdr:row>22</xdr:row>
      <xdr:rowOff>44450</xdr:rowOff>
    </xdr:to>
    <xdr:graphicFrame macro="">
      <xdr:nvGraphicFramePr>
        <xdr:cNvPr id="10" name="Chart 9">
          <a:extLst>
            <a:ext uri="{FF2B5EF4-FFF2-40B4-BE49-F238E27FC236}">
              <a16:creationId xmlns:a16="http://schemas.microsoft.com/office/drawing/2014/main" id="{A9474CCA-C1D7-6E89-C1FA-754BF47713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165100</xdr:colOff>
      <xdr:row>10</xdr:row>
      <xdr:rowOff>31750</xdr:rowOff>
    </xdr:from>
    <xdr:to>
      <xdr:col>8</xdr:col>
      <xdr:colOff>609600</xdr:colOff>
      <xdr:row>23</xdr:row>
      <xdr:rowOff>133350</xdr:rowOff>
    </xdr:to>
    <xdr:graphicFrame macro="">
      <xdr:nvGraphicFramePr>
        <xdr:cNvPr id="2" name="Chart 1">
          <a:extLst>
            <a:ext uri="{FF2B5EF4-FFF2-40B4-BE49-F238E27FC236}">
              <a16:creationId xmlns:a16="http://schemas.microsoft.com/office/drawing/2014/main" id="{220A9866-6C45-4999-7DDD-2473F39253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654050</xdr:colOff>
      <xdr:row>10</xdr:row>
      <xdr:rowOff>0</xdr:rowOff>
    </xdr:from>
    <xdr:to>
      <xdr:col>11</xdr:col>
      <xdr:colOff>273050</xdr:colOff>
      <xdr:row>23</xdr:row>
      <xdr:rowOff>101600</xdr:rowOff>
    </xdr:to>
    <xdr:graphicFrame macro="">
      <xdr:nvGraphicFramePr>
        <xdr:cNvPr id="4" name="Chart 3">
          <a:extLst>
            <a:ext uri="{FF2B5EF4-FFF2-40B4-BE49-F238E27FC236}">
              <a16:creationId xmlns:a16="http://schemas.microsoft.com/office/drawing/2014/main" id="{05B1279E-2E48-98C9-5D2A-B5539A1AF0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974.069956018517" createdVersion="8" refreshedVersion="8" minRefreshableVersion="3" recordCount="934" xr:uid="{D49FCB54-729E-3B46-8AE2-F9FD98C51935}">
  <cacheSource type="worksheet">
    <worksheetSource name="customer_satisfaction_cleaned"/>
  </cacheSource>
  <cacheFields count="16">
    <cacheField name="Customer ID" numFmtId="0">
      <sharedItems/>
    </cacheField>
    <cacheField name="Product Category" numFmtId="0">
      <sharedItems count="5">
        <s v="Electronics"/>
        <s v="Books"/>
        <s v="Home Goods"/>
        <s v="UNCATEGORISED"/>
        <s v="Clothing"/>
      </sharedItems>
    </cacheField>
    <cacheField name="Satisfaction Score" numFmtId="0">
      <sharedItems containsString="0" containsBlank="1" containsNumber="1" containsInteger="1" minValue="1" maxValue="12"/>
    </cacheField>
    <cacheField name="Days for Delivery" numFmtId="0">
      <sharedItems containsString="0" containsBlank="1" containsNumber="1" containsInteger="1" minValue="-1" maxValue="11"/>
    </cacheField>
    <cacheField name="Customer Service Interaction" numFmtId="0">
      <sharedItems/>
    </cacheField>
    <cacheField name="Purchase Amount" numFmtId="0">
      <sharedItems containsSemiMixedTypes="0" containsString="0" containsNumber="1" minValue="0.73" maxValue="21751"/>
    </cacheField>
    <cacheField name="Customer Age" numFmtId="0">
      <sharedItems containsString="0" containsBlank="1" containsNumber="1" containsInteger="1" minValue="0" maxValue="77"/>
    </cacheField>
    <cacheField name="Gender" numFmtId="0">
      <sharedItems/>
    </cacheField>
    <cacheField name="Customer Service Interaction_Clean" numFmtId="0">
      <sharedItems count="3">
        <s v="NO"/>
        <s v="YES"/>
        <s v="MISSING"/>
      </sharedItems>
    </cacheField>
    <cacheField name="Gender_Clean" numFmtId="0">
      <sharedItems count="3">
        <s v="MALE"/>
        <s v="FEMALE"/>
        <s v="MISSING"/>
      </sharedItems>
    </cacheField>
    <cacheField name="Purchase Amount_Financial KPI" numFmtId="0">
      <sharedItems containsSemiMixedTypes="0" containsString="0" containsNumber="1" minValue="0.73" maxValue="21751"/>
    </cacheField>
    <cacheField name="Satisfaction Feedback_Status" numFmtId="0">
      <sharedItems count="2">
        <s v="OK"/>
        <s v="FEEDBACK MISSING"/>
      </sharedItems>
    </cacheField>
    <cacheField name="Delivery_Status" numFmtId="0">
      <sharedItems/>
    </cacheField>
    <cacheField name="Customer Age_Group" numFmtId="0">
      <sharedItems count="5">
        <s v="UNKNOWN"/>
        <s v="Adult"/>
        <s v="Youth"/>
        <s v="Senior"/>
        <s v="Child"/>
      </sharedItems>
    </cacheField>
    <cacheField name="SLA_Target Days" numFmtId="0">
      <sharedItems containsMixedTypes="1" containsNumber="1" containsInteger="1" minValue="5" maxValue="10"/>
    </cacheField>
    <cacheField name="SLA_Met_Status" numFmtId="0">
      <sharedItems count="5">
        <s v="SLA fail : late delivery"/>
        <s v="SLA met"/>
        <s v="delivery time missing / no SLA"/>
        <s v="FAIL : LATE DELIVERY" u="1"/>
        <s v="DELIVERY TIME MISSING/NO SLA" u="1"/>
      </sharedItems>
    </cacheField>
  </cacheFields>
  <extLst>
    <ext xmlns:x14="http://schemas.microsoft.com/office/spreadsheetml/2009/9/main" uri="{725AE2AE-9491-48be-B2B4-4EB974FC3084}">
      <x14:pivotCacheDefinition pivotCacheId="161931852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4">
  <r>
    <s v="CUST0022"/>
    <x v="0"/>
    <n v="7"/>
    <n v="8"/>
    <s v="NO"/>
    <n v="89.71"/>
    <m/>
    <s v="M"/>
    <x v="0"/>
    <x v="0"/>
    <n v="89.71"/>
    <x v="0"/>
    <s v="OK"/>
    <x v="0"/>
    <n v="5"/>
    <x v="0"/>
  </r>
  <r>
    <s v="GUEST"/>
    <x v="1"/>
    <m/>
    <n v="3"/>
    <s v="Y"/>
    <n v="178.39"/>
    <n v="52"/>
    <s v="FEMALE"/>
    <x v="1"/>
    <x v="1"/>
    <n v="178.39"/>
    <x v="1"/>
    <s v="OK"/>
    <x v="1"/>
    <n v="10"/>
    <x v="1"/>
  </r>
  <r>
    <s v="CUST0748"/>
    <x v="2"/>
    <n v="8"/>
    <n v="6"/>
    <s v="NO"/>
    <n v="81.709999999999994"/>
    <n v="33"/>
    <s v="OTHER"/>
    <x v="0"/>
    <x v="2"/>
    <n v="81.709999999999994"/>
    <x v="0"/>
    <s v="OK"/>
    <x v="1"/>
    <n v="7"/>
    <x v="1"/>
  </r>
  <r>
    <s v="CUST0244"/>
    <x v="0"/>
    <n v="9"/>
    <n v="7"/>
    <s v="YES"/>
    <n v="83.18"/>
    <n v="46"/>
    <s v="OTHER"/>
    <x v="1"/>
    <x v="2"/>
    <n v="83.18"/>
    <x v="0"/>
    <s v="OK"/>
    <x v="1"/>
    <n v="5"/>
    <x v="0"/>
  </r>
  <r>
    <s v="CUST0684"/>
    <x v="1"/>
    <m/>
    <n v="7"/>
    <s v="YES"/>
    <n v="68.8"/>
    <n v="36"/>
    <s v="MALE"/>
    <x v="1"/>
    <x v="0"/>
    <n v="68.8"/>
    <x v="1"/>
    <s v="OK"/>
    <x v="1"/>
    <n v="10"/>
    <x v="1"/>
  </r>
  <r>
    <s v="CUST0799"/>
    <x v="0"/>
    <n v="5"/>
    <n v="1"/>
    <s v="NAN"/>
    <n v="211.03"/>
    <n v="33"/>
    <s v="FEMALE"/>
    <x v="2"/>
    <x v="1"/>
    <n v="211.03"/>
    <x v="0"/>
    <s v="OK"/>
    <x v="1"/>
    <n v="5"/>
    <x v="1"/>
  </r>
  <r>
    <s v="CUST0467"/>
    <x v="1"/>
    <n v="6"/>
    <n v="3"/>
    <s v="NO"/>
    <n v="159.02000000000001"/>
    <n v="51"/>
    <s v="NAN"/>
    <x v="0"/>
    <x v="2"/>
    <n v="159.02000000000001"/>
    <x v="0"/>
    <s v="OK"/>
    <x v="1"/>
    <n v="10"/>
    <x v="1"/>
  </r>
  <r>
    <s v="CUST0722"/>
    <x v="2"/>
    <n v="5"/>
    <n v="6"/>
    <s v="Y"/>
    <n v="60.5"/>
    <n v="28"/>
    <s v="MALE"/>
    <x v="1"/>
    <x v="0"/>
    <n v="60.5"/>
    <x v="0"/>
    <s v="OK"/>
    <x v="2"/>
    <n v="7"/>
    <x v="1"/>
  </r>
  <r>
    <s v="GUEST"/>
    <x v="0"/>
    <n v="6"/>
    <n v="2"/>
    <s v="N"/>
    <n v="49.95"/>
    <n v="65"/>
    <s v="NAN"/>
    <x v="0"/>
    <x v="2"/>
    <n v="49.95"/>
    <x v="0"/>
    <s v="OK"/>
    <x v="3"/>
    <n v="5"/>
    <x v="1"/>
  </r>
  <r>
    <s v="CUST0194"/>
    <x v="2"/>
    <n v="9"/>
    <n v="3"/>
    <s v="Y"/>
    <n v="168.99"/>
    <n v="35"/>
    <s v=""/>
    <x v="1"/>
    <x v="2"/>
    <n v="168.99"/>
    <x v="0"/>
    <s v="OK"/>
    <x v="1"/>
    <n v="7"/>
    <x v="1"/>
  </r>
  <r>
    <s v="CUST0865"/>
    <x v="3"/>
    <n v="8"/>
    <n v="5"/>
    <s v="NO"/>
    <n v="169.96"/>
    <n v="63"/>
    <s v="M"/>
    <x v="0"/>
    <x v="0"/>
    <n v="169.96"/>
    <x v="0"/>
    <s v="OK"/>
    <x v="3"/>
    <s v="NA"/>
    <x v="2"/>
  </r>
  <r>
    <s v="CUST0681"/>
    <x v="1"/>
    <n v="4"/>
    <n v="0"/>
    <s v="Y"/>
    <n v="30.15"/>
    <n v="32"/>
    <s v="FEMALE"/>
    <x v="1"/>
    <x v="1"/>
    <n v="30.15"/>
    <x v="0"/>
    <s v="OK"/>
    <x v="1"/>
    <n v="10"/>
    <x v="1"/>
  </r>
  <r>
    <s v="CUST0440"/>
    <x v="2"/>
    <n v="10"/>
    <n v="6"/>
    <s v="YES"/>
    <n v="150.72999999999999"/>
    <n v="30"/>
    <s v="MALE"/>
    <x v="1"/>
    <x v="0"/>
    <n v="150.72999999999999"/>
    <x v="0"/>
    <s v="OK"/>
    <x v="1"/>
    <n v="7"/>
    <x v="1"/>
  </r>
  <r>
    <s v="CUST0410"/>
    <x v="3"/>
    <n v="9"/>
    <n v="3"/>
    <s v="YES"/>
    <n v="186.74"/>
    <n v="16"/>
    <s v="M"/>
    <x v="1"/>
    <x v="0"/>
    <n v="186.74"/>
    <x v="0"/>
    <s v="OK"/>
    <x v="2"/>
    <s v="NA"/>
    <x v="2"/>
  </r>
  <r>
    <s v="CUST0900"/>
    <x v="2"/>
    <n v="4"/>
    <n v="6"/>
    <s v="NAN"/>
    <n v="69.73"/>
    <n v="29"/>
    <s v="MALE"/>
    <x v="2"/>
    <x v="0"/>
    <n v="69.73"/>
    <x v="0"/>
    <s v="OK"/>
    <x v="2"/>
    <n v="7"/>
    <x v="1"/>
  </r>
  <r>
    <s v="CUST0067"/>
    <x v="1"/>
    <m/>
    <n v="5"/>
    <s v="Y"/>
    <n v="41.39"/>
    <n v="22"/>
    <s v="PREFER NOT TO SAY"/>
    <x v="1"/>
    <x v="2"/>
    <n v="41.39"/>
    <x v="1"/>
    <s v="OK"/>
    <x v="2"/>
    <n v="10"/>
    <x v="1"/>
  </r>
  <r>
    <s v="CUST0465"/>
    <x v="1"/>
    <n v="6"/>
    <n v="4"/>
    <s v="N"/>
    <n v="57.33"/>
    <n v="9"/>
    <s v="F"/>
    <x v="0"/>
    <x v="1"/>
    <n v="57.33"/>
    <x v="0"/>
    <s v="OK"/>
    <x v="4"/>
    <n v="10"/>
    <x v="1"/>
  </r>
  <r>
    <s v="CUST0359"/>
    <x v="0"/>
    <m/>
    <n v="3"/>
    <s v="NO"/>
    <n v="13.98"/>
    <n v="33"/>
    <s v="NAN"/>
    <x v="0"/>
    <x v="2"/>
    <n v="13.98"/>
    <x v="1"/>
    <s v="OK"/>
    <x v="1"/>
    <n v="5"/>
    <x v="1"/>
  </r>
  <r>
    <s v="CUST0432"/>
    <x v="4"/>
    <n v="9"/>
    <n v="4"/>
    <s v="N"/>
    <n v="70.239999999999995"/>
    <n v="26"/>
    <s v=""/>
    <x v="0"/>
    <x v="2"/>
    <n v="70.239999999999995"/>
    <x v="0"/>
    <s v="OK"/>
    <x v="2"/>
    <n v="7"/>
    <x v="1"/>
  </r>
  <r>
    <s v="CUST0895"/>
    <x v="1"/>
    <n v="7"/>
    <n v="2"/>
    <s v="NO"/>
    <n v="94.68"/>
    <n v="65"/>
    <s v="FEMALE"/>
    <x v="0"/>
    <x v="1"/>
    <n v="94.68"/>
    <x v="0"/>
    <s v="OK"/>
    <x v="3"/>
    <n v="10"/>
    <x v="1"/>
  </r>
  <r>
    <s v="CUST0119"/>
    <x v="1"/>
    <n v="6"/>
    <n v="5"/>
    <s v="NAN"/>
    <n v="86.13"/>
    <n v="18"/>
    <s v="MALE"/>
    <x v="2"/>
    <x v="0"/>
    <n v="86.13"/>
    <x v="0"/>
    <s v="OK"/>
    <x v="2"/>
    <n v="10"/>
    <x v="1"/>
  </r>
  <r>
    <s v="CUST0146"/>
    <x v="2"/>
    <n v="4"/>
    <n v="1"/>
    <s v="YES"/>
    <n v="88.3"/>
    <n v="47"/>
    <s v="NAN"/>
    <x v="1"/>
    <x v="2"/>
    <n v="88.3"/>
    <x v="0"/>
    <s v="OK"/>
    <x v="1"/>
    <n v="7"/>
    <x v="1"/>
  </r>
  <r>
    <s v="CUST0181"/>
    <x v="0"/>
    <n v="3"/>
    <n v="5"/>
    <s v="NO"/>
    <n v="93.26"/>
    <n v="38"/>
    <s v="MALE"/>
    <x v="0"/>
    <x v="0"/>
    <n v="93.26"/>
    <x v="0"/>
    <s v="OK"/>
    <x v="1"/>
    <n v="5"/>
    <x v="1"/>
  </r>
  <r>
    <s v="CUST0675"/>
    <x v="1"/>
    <n v="9"/>
    <n v="7"/>
    <s v="YES"/>
    <n v="157.13"/>
    <n v="53"/>
    <s v="OTHER"/>
    <x v="1"/>
    <x v="2"/>
    <n v="157.13"/>
    <x v="0"/>
    <s v="OK"/>
    <x v="1"/>
    <n v="10"/>
    <x v="1"/>
  </r>
  <r>
    <s v="CUST0049"/>
    <x v="4"/>
    <n v="10"/>
    <n v="5"/>
    <s v="N"/>
    <n v="171.46"/>
    <n v="47"/>
    <s v=""/>
    <x v="0"/>
    <x v="2"/>
    <n v="171.46"/>
    <x v="0"/>
    <s v="OK"/>
    <x v="1"/>
    <n v="7"/>
    <x v="1"/>
  </r>
  <r>
    <s v="CUST0735"/>
    <x v="4"/>
    <n v="9"/>
    <n v="10"/>
    <s v="YES"/>
    <n v="166.85"/>
    <n v="53"/>
    <s v="OTHER"/>
    <x v="1"/>
    <x v="2"/>
    <n v="166.85"/>
    <x v="0"/>
    <s v="OK"/>
    <x v="1"/>
    <n v="7"/>
    <x v="0"/>
  </r>
  <r>
    <s v="CUST0200"/>
    <x v="2"/>
    <n v="7"/>
    <n v="6"/>
    <s v="Y"/>
    <n v="164.33"/>
    <n v="52"/>
    <s v="M"/>
    <x v="1"/>
    <x v="0"/>
    <n v="164.33"/>
    <x v="0"/>
    <s v="OK"/>
    <x v="1"/>
    <n v="7"/>
    <x v="1"/>
  </r>
  <r>
    <s v="CUST0298"/>
    <x v="2"/>
    <n v="8"/>
    <n v="6"/>
    <s v="NO"/>
    <n v="66.23"/>
    <n v="52"/>
    <s v="FEMALE"/>
    <x v="0"/>
    <x v="1"/>
    <n v="66.23"/>
    <x v="0"/>
    <s v="OK"/>
    <x v="1"/>
    <n v="7"/>
    <x v="1"/>
  </r>
  <r>
    <s v="CUST0940"/>
    <x v="4"/>
    <n v="3"/>
    <n v="6"/>
    <s v="NAN"/>
    <n v="111.02"/>
    <n v="30"/>
    <s v="MALE"/>
    <x v="2"/>
    <x v="0"/>
    <n v="111.02"/>
    <x v="0"/>
    <s v="OK"/>
    <x v="1"/>
    <n v="7"/>
    <x v="1"/>
  </r>
  <r>
    <s v="CUST0453"/>
    <x v="4"/>
    <m/>
    <n v="5"/>
    <s v="YES"/>
    <n v="99.99"/>
    <n v="39"/>
    <s v="F"/>
    <x v="1"/>
    <x v="1"/>
    <n v="99.99"/>
    <x v="1"/>
    <s v="OK"/>
    <x v="1"/>
    <n v="7"/>
    <x v="1"/>
  </r>
  <r>
    <s v="CUST0557"/>
    <x v="1"/>
    <n v="8"/>
    <n v="6"/>
    <s v="NAN"/>
    <n v="231.68"/>
    <n v="24"/>
    <s v="F"/>
    <x v="2"/>
    <x v="1"/>
    <n v="231.68"/>
    <x v="0"/>
    <s v="OK"/>
    <x v="2"/>
    <n v="10"/>
    <x v="1"/>
  </r>
  <r>
    <s v="CUST0007"/>
    <x v="0"/>
    <n v="4"/>
    <n v="9"/>
    <s v="N"/>
    <n v="114.81"/>
    <n v="19"/>
    <s v="NAN"/>
    <x v="0"/>
    <x v="2"/>
    <n v="114.81"/>
    <x v="0"/>
    <s v="OK"/>
    <x v="2"/>
    <n v="5"/>
    <x v="0"/>
  </r>
  <r>
    <s v="CUST0191"/>
    <x v="2"/>
    <n v="7"/>
    <n v="2"/>
    <s v="NO"/>
    <n v="120.17"/>
    <n v="21"/>
    <s v="M"/>
    <x v="0"/>
    <x v="0"/>
    <n v="120.17"/>
    <x v="0"/>
    <s v="OK"/>
    <x v="2"/>
    <n v="7"/>
    <x v="1"/>
  </r>
  <r>
    <s v="CUST0452"/>
    <x v="4"/>
    <n v="5"/>
    <m/>
    <s v="NAN"/>
    <n v="140.99"/>
    <n v="16"/>
    <s v="MALE"/>
    <x v="2"/>
    <x v="0"/>
    <n v="140.99"/>
    <x v="0"/>
    <s v="MISSING DELIVERY STATUS"/>
    <x v="2"/>
    <n v="7"/>
    <x v="2"/>
  </r>
  <r>
    <s v="CUST0592"/>
    <x v="1"/>
    <n v="2"/>
    <n v="7"/>
    <s v="Y"/>
    <n v="127.71"/>
    <n v="28"/>
    <s v="NAN"/>
    <x v="1"/>
    <x v="2"/>
    <n v="127.71"/>
    <x v="0"/>
    <s v="OK"/>
    <x v="2"/>
    <n v="10"/>
    <x v="1"/>
  </r>
  <r>
    <s v="CUST0929"/>
    <x v="4"/>
    <n v="7"/>
    <n v="6"/>
    <s v="YES"/>
    <n v="53.97"/>
    <n v="53"/>
    <s v="FEMALE"/>
    <x v="1"/>
    <x v="1"/>
    <n v="53.97"/>
    <x v="0"/>
    <s v="OK"/>
    <x v="1"/>
    <n v="7"/>
    <x v="1"/>
  </r>
  <r>
    <s v="CUST0630"/>
    <x v="2"/>
    <n v="7"/>
    <n v="5"/>
    <s v="YES"/>
    <n v="188.51"/>
    <n v="35"/>
    <s v="FEMALE"/>
    <x v="1"/>
    <x v="1"/>
    <n v="188.51"/>
    <x v="0"/>
    <s v="OK"/>
    <x v="1"/>
    <n v="7"/>
    <x v="1"/>
  </r>
  <r>
    <s v="CUST0282"/>
    <x v="1"/>
    <m/>
    <n v="4"/>
    <s v="NO"/>
    <n v="139"/>
    <n v="50"/>
    <s v="F"/>
    <x v="0"/>
    <x v="1"/>
    <n v="139"/>
    <x v="1"/>
    <s v="OK"/>
    <x v="1"/>
    <n v="10"/>
    <x v="1"/>
  </r>
  <r>
    <s v="CUST0814"/>
    <x v="1"/>
    <n v="10"/>
    <n v="6"/>
    <s v="NAN"/>
    <n v="157.56"/>
    <n v="45"/>
    <s v="OTHER"/>
    <x v="2"/>
    <x v="2"/>
    <n v="157.56"/>
    <x v="0"/>
    <s v="OK"/>
    <x v="1"/>
    <n v="10"/>
    <x v="1"/>
  </r>
  <r>
    <s v="CUST0843"/>
    <x v="0"/>
    <n v="9"/>
    <n v="1"/>
    <s v="YES"/>
    <n v="30.73"/>
    <n v="42"/>
    <s v="NAN"/>
    <x v="1"/>
    <x v="2"/>
    <n v="30.73"/>
    <x v="0"/>
    <s v="OK"/>
    <x v="1"/>
    <n v="5"/>
    <x v="1"/>
  </r>
  <r>
    <s v="CUST0870"/>
    <x v="4"/>
    <n v="5"/>
    <n v="6"/>
    <s v="NO"/>
    <n v="191.36"/>
    <m/>
    <s v="M"/>
    <x v="0"/>
    <x v="0"/>
    <n v="191.36"/>
    <x v="0"/>
    <s v="OK"/>
    <x v="0"/>
    <n v="7"/>
    <x v="1"/>
  </r>
  <r>
    <s v="CUST0172"/>
    <x v="0"/>
    <n v="6"/>
    <n v="3"/>
    <s v="YES"/>
    <n v="197.86"/>
    <n v="11"/>
    <s v="M"/>
    <x v="1"/>
    <x v="0"/>
    <n v="197.86"/>
    <x v="0"/>
    <s v="OK"/>
    <x v="4"/>
    <n v="5"/>
    <x v="1"/>
  </r>
  <r>
    <s v="CUST0347"/>
    <x v="3"/>
    <n v="8"/>
    <n v="5"/>
    <s v="NO"/>
    <n v="173.48"/>
    <n v="10"/>
    <s v="NAN"/>
    <x v="0"/>
    <x v="2"/>
    <n v="173.48"/>
    <x v="0"/>
    <s v="OK"/>
    <x v="4"/>
    <s v="NA"/>
    <x v="2"/>
  </r>
  <r>
    <s v="CUST0782"/>
    <x v="2"/>
    <n v="8"/>
    <n v="2"/>
    <s v="N"/>
    <n v="65.36"/>
    <n v="53"/>
    <s v="M"/>
    <x v="0"/>
    <x v="0"/>
    <n v="65.36"/>
    <x v="0"/>
    <s v="OK"/>
    <x v="1"/>
    <n v="7"/>
    <x v="1"/>
  </r>
  <r>
    <s v="CUST0867"/>
    <x v="0"/>
    <n v="3"/>
    <n v="2"/>
    <s v="NO"/>
    <n v="125.51"/>
    <n v="36"/>
    <s v=""/>
    <x v="0"/>
    <x v="2"/>
    <n v="125.51"/>
    <x v="0"/>
    <s v="OK"/>
    <x v="1"/>
    <n v="5"/>
    <x v="1"/>
  </r>
  <r>
    <s v="CUST0212"/>
    <x v="2"/>
    <n v="5"/>
    <n v="9"/>
    <s v=""/>
    <n v="87.2"/>
    <n v="56"/>
    <s v="M"/>
    <x v="2"/>
    <x v="0"/>
    <n v="87.2"/>
    <x v="0"/>
    <s v="OK"/>
    <x v="1"/>
    <n v="7"/>
    <x v="0"/>
  </r>
  <r>
    <s v="CUST0424"/>
    <x v="3"/>
    <m/>
    <n v="7"/>
    <s v="N"/>
    <n v="84.98"/>
    <n v="3"/>
    <s v="PREFER NOT TO SAY"/>
    <x v="0"/>
    <x v="2"/>
    <n v="84.98"/>
    <x v="1"/>
    <s v="OK"/>
    <x v="4"/>
    <s v="NA"/>
    <x v="2"/>
  </r>
  <r>
    <s v="CUST0140"/>
    <x v="0"/>
    <n v="3"/>
    <n v="7"/>
    <s v="NAN"/>
    <n v="122.53"/>
    <n v="64"/>
    <s v="PREFER NOT TO SAY"/>
    <x v="2"/>
    <x v="2"/>
    <n v="122.53"/>
    <x v="0"/>
    <s v="OK"/>
    <x v="3"/>
    <n v="5"/>
    <x v="0"/>
  </r>
  <r>
    <s v="CUST0466"/>
    <x v="2"/>
    <n v="6"/>
    <n v="9"/>
    <s v="NAN"/>
    <n v="104.26"/>
    <n v="21"/>
    <s v="MALE"/>
    <x v="2"/>
    <x v="0"/>
    <n v="104.26"/>
    <x v="0"/>
    <s v="OK"/>
    <x v="2"/>
    <n v="7"/>
    <x v="0"/>
  </r>
  <r>
    <s v="CUST0840"/>
    <x v="0"/>
    <n v="7"/>
    <n v="8"/>
    <s v="NO"/>
    <n v="53.59"/>
    <m/>
    <s v="F"/>
    <x v="0"/>
    <x v="1"/>
    <n v="53.59"/>
    <x v="0"/>
    <s v="OK"/>
    <x v="0"/>
    <n v="5"/>
    <x v="0"/>
  </r>
  <r>
    <s v="CUST0073"/>
    <x v="0"/>
    <n v="6"/>
    <n v="8"/>
    <s v="NO"/>
    <n v="149.56"/>
    <n v="19"/>
    <s v="M"/>
    <x v="0"/>
    <x v="0"/>
    <n v="149.56"/>
    <x v="0"/>
    <s v="OK"/>
    <x v="2"/>
    <n v="5"/>
    <x v="0"/>
  </r>
  <r>
    <s v="CUST0213"/>
    <x v="0"/>
    <n v="6"/>
    <n v="5"/>
    <s v="NO"/>
    <n v="16852"/>
    <n v="40"/>
    <s v="M"/>
    <x v="0"/>
    <x v="0"/>
    <n v="16852"/>
    <x v="0"/>
    <s v="OK"/>
    <x v="1"/>
    <n v="5"/>
    <x v="1"/>
  </r>
  <r>
    <s v="CUST0976"/>
    <x v="3"/>
    <n v="8"/>
    <n v="2"/>
    <s v=""/>
    <n v="143.09"/>
    <n v="40"/>
    <s v="MALE"/>
    <x v="2"/>
    <x v="0"/>
    <n v="143.09"/>
    <x v="0"/>
    <s v="OK"/>
    <x v="1"/>
    <s v="NA"/>
    <x v="2"/>
  </r>
  <r>
    <s v="CUST0356"/>
    <x v="2"/>
    <n v="4"/>
    <n v="5"/>
    <s v="N"/>
    <n v="184.42"/>
    <n v="36"/>
    <s v="F"/>
    <x v="0"/>
    <x v="1"/>
    <n v="184.42"/>
    <x v="0"/>
    <s v="OK"/>
    <x v="1"/>
    <n v="7"/>
    <x v="1"/>
  </r>
  <r>
    <s v="CUST0053"/>
    <x v="2"/>
    <n v="4"/>
    <n v="6"/>
    <s v="YES"/>
    <n v="137.69999999999999"/>
    <n v="33"/>
    <s v="M"/>
    <x v="1"/>
    <x v="0"/>
    <n v="137.69999999999999"/>
    <x v="0"/>
    <s v="OK"/>
    <x v="1"/>
    <n v="7"/>
    <x v="1"/>
  </r>
  <r>
    <s v="CUST0966"/>
    <x v="0"/>
    <n v="3"/>
    <n v="6"/>
    <s v="NAN"/>
    <n v="93.29"/>
    <n v="41"/>
    <s v="MALE"/>
    <x v="2"/>
    <x v="0"/>
    <n v="93.29"/>
    <x v="0"/>
    <s v="OK"/>
    <x v="1"/>
    <n v="5"/>
    <x v="0"/>
  </r>
  <r>
    <s v="CUST0556"/>
    <x v="1"/>
    <n v="9"/>
    <m/>
    <s v="YES"/>
    <n v="75.36"/>
    <n v="51"/>
    <s v="MALE"/>
    <x v="1"/>
    <x v="0"/>
    <n v="75.36"/>
    <x v="0"/>
    <s v="MISSING DELIVERY STATUS"/>
    <x v="1"/>
    <n v="10"/>
    <x v="2"/>
  </r>
  <r>
    <s v="CUST0818"/>
    <x v="2"/>
    <n v="8"/>
    <m/>
    <s v="NAN"/>
    <n v="190.33"/>
    <n v="41"/>
    <s v="FEMALE"/>
    <x v="2"/>
    <x v="1"/>
    <n v="190.33"/>
    <x v="0"/>
    <s v="MISSING DELIVERY STATUS"/>
    <x v="1"/>
    <n v="7"/>
    <x v="2"/>
  </r>
  <r>
    <s v="CUST0811"/>
    <x v="2"/>
    <n v="7"/>
    <m/>
    <s v="Y"/>
    <n v="120.1"/>
    <n v="21"/>
    <s v="FEMALE"/>
    <x v="1"/>
    <x v="1"/>
    <n v="120.1"/>
    <x v="0"/>
    <s v="MISSING DELIVERY STATUS"/>
    <x v="2"/>
    <n v="7"/>
    <x v="2"/>
  </r>
  <r>
    <s v="CUST0145"/>
    <x v="1"/>
    <n v="8"/>
    <n v="5"/>
    <s v="YES"/>
    <n v="23.97"/>
    <n v="35"/>
    <s v="MALE"/>
    <x v="1"/>
    <x v="0"/>
    <n v="23.97"/>
    <x v="0"/>
    <s v="OK"/>
    <x v="1"/>
    <n v="10"/>
    <x v="1"/>
  </r>
  <r>
    <s v="CUST0186"/>
    <x v="3"/>
    <n v="10"/>
    <n v="2"/>
    <s v="YES"/>
    <n v="124.37"/>
    <n v="50"/>
    <s v="M"/>
    <x v="1"/>
    <x v="0"/>
    <n v="124.37"/>
    <x v="0"/>
    <s v="OK"/>
    <x v="1"/>
    <s v="NA"/>
    <x v="2"/>
  </r>
  <r>
    <s v="CUST0037"/>
    <x v="1"/>
    <n v="7"/>
    <n v="4"/>
    <s v=""/>
    <n v="102.82"/>
    <n v="45"/>
    <s v="M"/>
    <x v="2"/>
    <x v="0"/>
    <n v="102.82"/>
    <x v="0"/>
    <s v="OK"/>
    <x v="1"/>
    <n v="10"/>
    <x v="1"/>
  </r>
  <r>
    <s v="CUST0750"/>
    <x v="4"/>
    <n v="9"/>
    <n v="4"/>
    <s v="N"/>
    <n v="157.53"/>
    <n v="30"/>
    <s v=""/>
    <x v="0"/>
    <x v="2"/>
    <n v="157.53"/>
    <x v="0"/>
    <s v="OK"/>
    <x v="1"/>
    <n v="7"/>
    <x v="1"/>
  </r>
  <r>
    <s v="CUST0135"/>
    <x v="2"/>
    <n v="4"/>
    <n v="7"/>
    <s v="NO"/>
    <n v="121.17"/>
    <n v="27"/>
    <s v="F"/>
    <x v="0"/>
    <x v="1"/>
    <n v="121.17"/>
    <x v="0"/>
    <s v="OK"/>
    <x v="2"/>
    <n v="7"/>
    <x v="1"/>
  </r>
  <r>
    <s v="CUST0767"/>
    <x v="0"/>
    <n v="6"/>
    <n v="5"/>
    <s v="NO"/>
    <n v="126.55"/>
    <n v="17"/>
    <s v="M"/>
    <x v="0"/>
    <x v="0"/>
    <n v="126.55"/>
    <x v="0"/>
    <s v="OK"/>
    <x v="2"/>
    <n v="5"/>
    <x v="1"/>
  </r>
  <r>
    <s v="CUST0772"/>
    <x v="0"/>
    <n v="12"/>
    <m/>
    <s v="NO"/>
    <n v="11.03"/>
    <n v="26"/>
    <s v="OTHER"/>
    <x v="0"/>
    <x v="2"/>
    <n v="11.03"/>
    <x v="0"/>
    <s v="MISSING DELIVERY STATUS"/>
    <x v="2"/>
    <n v="5"/>
    <x v="2"/>
  </r>
  <r>
    <s v="GUEST"/>
    <x v="0"/>
    <n v="7"/>
    <n v="6"/>
    <s v="YES"/>
    <n v="89.81"/>
    <n v="38"/>
    <s v="PREFER NOT TO SAY"/>
    <x v="1"/>
    <x v="2"/>
    <n v="89.81"/>
    <x v="0"/>
    <s v="OK"/>
    <x v="1"/>
    <n v="5"/>
    <x v="0"/>
  </r>
  <r>
    <s v="CUST0773"/>
    <x v="0"/>
    <n v="9"/>
    <n v="8"/>
    <s v="N"/>
    <n v="164.51"/>
    <n v="60"/>
    <s v="M"/>
    <x v="0"/>
    <x v="0"/>
    <n v="164.51"/>
    <x v="0"/>
    <s v="OK"/>
    <x v="3"/>
    <n v="5"/>
    <x v="0"/>
  </r>
  <r>
    <s v="CUST0197"/>
    <x v="4"/>
    <n v="8"/>
    <n v="3"/>
    <s v="YES"/>
    <n v="46.54"/>
    <n v="23"/>
    <s v="PREFER NOT TO SAY"/>
    <x v="1"/>
    <x v="2"/>
    <n v="46.54"/>
    <x v="0"/>
    <s v="OK"/>
    <x v="2"/>
    <n v="7"/>
    <x v="1"/>
  </r>
  <r>
    <s v="CUST0606"/>
    <x v="2"/>
    <n v="3"/>
    <n v="7"/>
    <s v="YES"/>
    <n v="83.07"/>
    <n v="44"/>
    <s v="MALE"/>
    <x v="1"/>
    <x v="0"/>
    <n v="83.07"/>
    <x v="0"/>
    <s v="OK"/>
    <x v="1"/>
    <n v="7"/>
    <x v="1"/>
  </r>
  <r>
    <s v="CUST0833"/>
    <x v="2"/>
    <n v="5"/>
    <n v="9"/>
    <s v="Y"/>
    <n v="123.65"/>
    <n v="48"/>
    <s v="F"/>
    <x v="1"/>
    <x v="1"/>
    <n v="123.65"/>
    <x v="0"/>
    <s v="OK"/>
    <x v="1"/>
    <n v="7"/>
    <x v="0"/>
  </r>
  <r>
    <s v="CUST0757"/>
    <x v="4"/>
    <n v="7"/>
    <n v="5"/>
    <s v="NO"/>
    <n v="127.99"/>
    <n v="24"/>
    <s v="MALE"/>
    <x v="0"/>
    <x v="0"/>
    <n v="127.99"/>
    <x v="0"/>
    <s v="OK"/>
    <x v="2"/>
    <n v="7"/>
    <x v="1"/>
  </r>
  <r>
    <s v="CUST0978"/>
    <x v="1"/>
    <n v="5"/>
    <m/>
    <s v="YES"/>
    <n v="44.6"/>
    <n v="54"/>
    <s v="MALE"/>
    <x v="1"/>
    <x v="0"/>
    <n v="44.6"/>
    <x v="0"/>
    <s v="MISSING DELIVERY STATUS"/>
    <x v="1"/>
    <n v="10"/>
    <x v="2"/>
  </r>
  <r>
    <s v="CUST0021"/>
    <x v="4"/>
    <n v="5"/>
    <n v="2"/>
    <s v="NO"/>
    <n v="179.55"/>
    <m/>
    <s v="NAN"/>
    <x v="0"/>
    <x v="2"/>
    <n v="179.55"/>
    <x v="0"/>
    <s v="OK"/>
    <x v="0"/>
    <n v="7"/>
    <x v="1"/>
  </r>
  <r>
    <s v="CUST0245"/>
    <x v="2"/>
    <n v="4"/>
    <m/>
    <s v="NO"/>
    <n v="164.12"/>
    <n v="32"/>
    <s v="MALE"/>
    <x v="0"/>
    <x v="0"/>
    <n v="164.12"/>
    <x v="0"/>
    <s v="MISSING DELIVERY STATUS"/>
    <x v="1"/>
    <n v="7"/>
    <x v="2"/>
  </r>
  <r>
    <s v="CUST0803"/>
    <x v="0"/>
    <n v="8"/>
    <n v="4"/>
    <s v="YES"/>
    <n v="149.49"/>
    <n v="41"/>
    <s v="F"/>
    <x v="1"/>
    <x v="1"/>
    <n v="149.49"/>
    <x v="0"/>
    <s v="OK"/>
    <x v="1"/>
    <n v="5"/>
    <x v="1"/>
  </r>
  <r>
    <s v="CUST0016"/>
    <x v="0"/>
    <n v="6"/>
    <n v="6"/>
    <s v="YES"/>
    <n v="98.63"/>
    <n v="71"/>
    <s v="NAN"/>
    <x v="1"/>
    <x v="2"/>
    <n v="98.63"/>
    <x v="0"/>
    <s v="OK"/>
    <x v="3"/>
    <n v="5"/>
    <x v="0"/>
  </r>
  <r>
    <s v="CUST0957"/>
    <x v="1"/>
    <n v="8"/>
    <n v="6"/>
    <s v="Y"/>
    <n v="108.17"/>
    <n v="45"/>
    <s v="PREFER NOT TO SAY"/>
    <x v="1"/>
    <x v="2"/>
    <n v="108.17"/>
    <x v="0"/>
    <s v="OK"/>
    <x v="1"/>
    <n v="10"/>
    <x v="1"/>
  </r>
  <r>
    <s v="CUST0078"/>
    <x v="1"/>
    <n v="7"/>
    <n v="3"/>
    <s v="YES"/>
    <n v="60.03"/>
    <n v="53"/>
    <s v="PREFER NOT TO SAY"/>
    <x v="1"/>
    <x v="2"/>
    <n v="60.03"/>
    <x v="0"/>
    <s v="OK"/>
    <x v="1"/>
    <n v="10"/>
    <x v="1"/>
  </r>
  <r>
    <s v="CUST0643"/>
    <x v="1"/>
    <n v="8"/>
    <n v="5"/>
    <s v=""/>
    <n v="55.13"/>
    <n v="38"/>
    <s v="FEMALE"/>
    <x v="2"/>
    <x v="1"/>
    <n v="55.13"/>
    <x v="0"/>
    <s v="OK"/>
    <x v="1"/>
    <n v="10"/>
    <x v="1"/>
  </r>
  <r>
    <s v="CUST0455"/>
    <x v="0"/>
    <n v="7"/>
    <n v="5"/>
    <s v="NAN"/>
    <n v="137.25"/>
    <n v="18"/>
    <s v="NAN"/>
    <x v="2"/>
    <x v="2"/>
    <n v="137.25"/>
    <x v="0"/>
    <s v="OK"/>
    <x v="2"/>
    <n v="5"/>
    <x v="1"/>
  </r>
  <r>
    <s v="CUST0486"/>
    <x v="4"/>
    <n v="5"/>
    <n v="5"/>
    <s v=""/>
    <n v="140.44999999999999"/>
    <n v="69"/>
    <s v="F"/>
    <x v="2"/>
    <x v="1"/>
    <n v="140.44999999999999"/>
    <x v="0"/>
    <s v="OK"/>
    <x v="3"/>
    <n v="7"/>
    <x v="1"/>
  </r>
  <r>
    <s v="CUST0165"/>
    <x v="4"/>
    <n v="7"/>
    <n v="5"/>
    <s v="NAN"/>
    <n v="124.22"/>
    <n v="59"/>
    <s v="NAN"/>
    <x v="2"/>
    <x v="2"/>
    <n v="124.22"/>
    <x v="0"/>
    <s v="OK"/>
    <x v="1"/>
    <n v="7"/>
    <x v="1"/>
  </r>
  <r>
    <s v="CUST0733"/>
    <x v="0"/>
    <n v="7"/>
    <n v="0"/>
    <s v="NAN"/>
    <n v="64.05"/>
    <n v="46"/>
    <s v="F"/>
    <x v="2"/>
    <x v="1"/>
    <n v="64.05"/>
    <x v="0"/>
    <s v="OK"/>
    <x v="1"/>
    <n v="5"/>
    <x v="1"/>
  </r>
  <r>
    <s v="CUST0600"/>
    <x v="4"/>
    <n v="5"/>
    <n v="6"/>
    <s v="NO"/>
    <n v="72.59"/>
    <n v="9"/>
    <s v=""/>
    <x v="0"/>
    <x v="2"/>
    <n v="72.59"/>
    <x v="0"/>
    <s v="OK"/>
    <x v="4"/>
    <n v="7"/>
    <x v="1"/>
  </r>
  <r>
    <s v="CUST0560"/>
    <x v="4"/>
    <n v="5"/>
    <n v="4"/>
    <s v="NO"/>
    <n v="123.63"/>
    <n v="38"/>
    <s v="FEMALE"/>
    <x v="0"/>
    <x v="1"/>
    <n v="123.63"/>
    <x v="0"/>
    <s v="OK"/>
    <x v="1"/>
    <n v="7"/>
    <x v="1"/>
  </r>
  <r>
    <s v="GUEST"/>
    <x v="2"/>
    <n v="4"/>
    <n v="6"/>
    <s v="YES"/>
    <n v="34.19"/>
    <n v="10"/>
    <s v="FEMALE"/>
    <x v="1"/>
    <x v="1"/>
    <n v="34.19"/>
    <x v="0"/>
    <s v="OK"/>
    <x v="4"/>
    <n v="7"/>
    <x v="1"/>
  </r>
  <r>
    <s v="CUST0537"/>
    <x v="1"/>
    <n v="7"/>
    <n v="3"/>
    <s v="N"/>
    <n v="89.79"/>
    <n v="40"/>
    <s v="PREFER NOT TO SAY"/>
    <x v="0"/>
    <x v="2"/>
    <n v="89.79"/>
    <x v="0"/>
    <s v="OK"/>
    <x v="1"/>
    <n v="10"/>
    <x v="1"/>
  </r>
  <r>
    <s v="CUST0507"/>
    <x v="1"/>
    <n v="9"/>
    <n v="4"/>
    <s v="Y"/>
    <n v="53.61"/>
    <n v="36"/>
    <s v="M"/>
    <x v="1"/>
    <x v="0"/>
    <n v="53.61"/>
    <x v="0"/>
    <s v="OK"/>
    <x v="1"/>
    <n v="10"/>
    <x v="1"/>
  </r>
  <r>
    <s v="CUST0496"/>
    <x v="2"/>
    <n v="6"/>
    <n v="8"/>
    <s v="NAN"/>
    <n v="41.08"/>
    <n v="40"/>
    <s v="M"/>
    <x v="2"/>
    <x v="0"/>
    <n v="41.08"/>
    <x v="0"/>
    <s v="OK"/>
    <x v="1"/>
    <n v="7"/>
    <x v="0"/>
  </r>
  <r>
    <s v="CUST0263"/>
    <x v="0"/>
    <n v="7"/>
    <n v="7"/>
    <s v="NO"/>
    <n v="70.3"/>
    <n v="51"/>
    <s v="PREFER NOT TO SAY"/>
    <x v="0"/>
    <x v="2"/>
    <n v="70.3"/>
    <x v="0"/>
    <s v="OK"/>
    <x v="1"/>
    <n v="5"/>
    <x v="0"/>
  </r>
  <r>
    <s v="CUST0445"/>
    <x v="1"/>
    <n v="4"/>
    <n v="6"/>
    <s v="YES"/>
    <n v="60.39"/>
    <n v="29"/>
    <s v="F"/>
    <x v="1"/>
    <x v="1"/>
    <n v="60.39"/>
    <x v="0"/>
    <s v="OK"/>
    <x v="2"/>
    <n v="10"/>
    <x v="1"/>
  </r>
  <r>
    <s v="CUST0741"/>
    <x v="2"/>
    <n v="8"/>
    <n v="3"/>
    <s v="N"/>
    <n v="123.98"/>
    <n v="55"/>
    <s v="NAN"/>
    <x v="0"/>
    <x v="2"/>
    <n v="123.98"/>
    <x v="0"/>
    <s v="OK"/>
    <x v="1"/>
    <n v="7"/>
    <x v="1"/>
  </r>
  <r>
    <s v="CUST0334"/>
    <x v="2"/>
    <n v="7"/>
    <n v="4"/>
    <s v="YES"/>
    <n v="155.77000000000001"/>
    <n v="49"/>
    <s v="F"/>
    <x v="1"/>
    <x v="1"/>
    <n v="155.77000000000001"/>
    <x v="0"/>
    <s v="OK"/>
    <x v="1"/>
    <n v="7"/>
    <x v="1"/>
  </r>
  <r>
    <s v="CUST0147"/>
    <x v="2"/>
    <n v="7"/>
    <n v="6"/>
    <s v="N"/>
    <n v="2918"/>
    <n v="53"/>
    <s v="PREFER NOT TO SAY"/>
    <x v="0"/>
    <x v="2"/>
    <n v="2918"/>
    <x v="0"/>
    <s v="OK"/>
    <x v="1"/>
    <n v="7"/>
    <x v="1"/>
  </r>
  <r>
    <s v="CUST0351"/>
    <x v="1"/>
    <n v="8"/>
    <n v="3"/>
    <s v="NAN"/>
    <n v="129.32"/>
    <n v="23"/>
    <s v="MALE"/>
    <x v="2"/>
    <x v="0"/>
    <n v="129.32"/>
    <x v="0"/>
    <s v="OK"/>
    <x v="2"/>
    <n v="10"/>
    <x v="1"/>
  </r>
  <r>
    <s v="CUST0622"/>
    <x v="4"/>
    <n v="8"/>
    <n v="3"/>
    <s v="YES"/>
    <n v="105.98"/>
    <n v="34"/>
    <s v="OTHER"/>
    <x v="1"/>
    <x v="2"/>
    <n v="105.98"/>
    <x v="0"/>
    <s v="OK"/>
    <x v="1"/>
    <n v="7"/>
    <x v="1"/>
  </r>
  <r>
    <s v="CUST0394"/>
    <x v="3"/>
    <n v="8"/>
    <m/>
    <s v="NO"/>
    <n v="88.02"/>
    <n v="35"/>
    <s v="M"/>
    <x v="0"/>
    <x v="0"/>
    <n v="88.02"/>
    <x v="0"/>
    <s v="MISSING DELIVERY STATUS"/>
    <x v="1"/>
    <s v="NA"/>
    <x v="2"/>
  </r>
  <r>
    <s v="CUST0872"/>
    <x v="1"/>
    <n v="8"/>
    <n v="4"/>
    <s v="NO"/>
    <n v="85.72"/>
    <n v="67"/>
    <s v="OTHER"/>
    <x v="0"/>
    <x v="2"/>
    <n v="85.72"/>
    <x v="0"/>
    <s v="OK"/>
    <x v="3"/>
    <n v="10"/>
    <x v="1"/>
  </r>
  <r>
    <s v="CUST0387"/>
    <x v="2"/>
    <n v="8"/>
    <n v="4"/>
    <s v="Y"/>
    <n v="181.11"/>
    <n v="40"/>
    <s v=""/>
    <x v="1"/>
    <x v="2"/>
    <n v="181.11"/>
    <x v="0"/>
    <s v="OK"/>
    <x v="1"/>
    <n v="7"/>
    <x v="1"/>
  </r>
  <r>
    <s v="CUST0420"/>
    <x v="4"/>
    <n v="6"/>
    <n v="2"/>
    <s v="YES"/>
    <n v="113.84"/>
    <n v="5"/>
    <s v="OTHER"/>
    <x v="1"/>
    <x v="2"/>
    <n v="113.84"/>
    <x v="0"/>
    <s v="OK"/>
    <x v="4"/>
    <n v="7"/>
    <x v="1"/>
  </r>
  <r>
    <s v="GUEST"/>
    <x v="4"/>
    <n v="8"/>
    <n v="2"/>
    <s v="Y"/>
    <n v="139.29"/>
    <n v="13"/>
    <s v="M"/>
    <x v="1"/>
    <x v="0"/>
    <n v="139.29"/>
    <x v="0"/>
    <s v="OK"/>
    <x v="4"/>
    <n v="7"/>
    <x v="1"/>
  </r>
  <r>
    <s v="CUST0753"/>
    <x v="4"/>
    <n v="8"/>
    <n v="3"/>
    <s v="YES"/>
    <n v="139.59"/>
    <n v="61"/>
    <s v=""/>
    <x v="1"/>
    <x v="2"/>
    <n v="139.59"/>
    <x v="0"/>
    <s v="OK"/>
    <x v="3"/>
    <n v="7"/>
    <x v="1"/>
  </r>
  <r>
    <s v="CUST0449"/>
    <x v="2"/>
    <n v="7"/>
    <n v="4"/>
    <s v="N"/>
    <n v="186.6"/>
    <n v="60"/>
    <s v="PREFER NOT TO SAY"/>
    <x v="0"/>
    <x v="2"/>
    <n v="186.6"/>
    <x v="0"/>
    <s v="OK"/>
    <x v="3"/>
    <n v="7"/>
    <x v="1"/>
  </r>
  <r>
    <s v="CUST0620"/>
    <x v="2"/>
    <n v="8"/>
    <n v="5"/>
    <s v="YES"/>
    <n v="141.05000000000001"/>
    <n v="14"/>
    <s v="F"/>
    <x v="1"/>
    <x v="1"/>
    <n v="141.05000000000001"/>
    <x v="0"/>
    <s v="OK"/>
    <x v="4"/>
    <n v="7"/>
    <x v="1"/>
  </r>
  <r>
    <s v="CUST0894"/>
    <x v="0"/>
    <n v="6"/>
    <n v="6"/>
    <s v="NO"/>
    <n v="140.37"/>
    <n v="41"/>
    <s v="PREFER NOT TO SAY"/>
    <x v="0"/>
    <x v="2"/>
    <n v="140.37"/>
    <x v="0"/>
    <s v="OK"/>
    <x v="1"/>
    <n v="5"/>
    <x v="0"/>
  </r>
  <r>
    <s v="CUST0639"/>
    <x v="4"/>
    <n v="10"/>
    <n v="-1"/>
    <s v="Y"/>
    <n v="131.04"/>
    <n v="57"/>
    <s v="NAN"/>
    <x v="1"/>
    <x v="2"/>
    <n v="131.04"/>
    <x v="0"/>
    <s v="NEGATIVE DAYS"/>
    <x v="1"/>
    <n v="7"/>
    <x v="1"/>
  </r>
  <r>
    <s v="CUST0262"/>
    <x v="4"/>
    <n v="7"/>
    <n v="7"/>
    <s v="YES"/>
    <n v="74.64"/>
    <n v="28"/>
    <s v="F"/>
    <x v="1"/>
    <x v="1"/>
    <n v="74.64"/>
    <x v="0"/>
    <s v="OK"/>
    <x v="2"/>
    <n v="7"/>
    <x v="1"/>
  </r>
  <r>
    <s v="CUST0902"/>
    <x v="1"/>
    <n v="8"/>
    <m/>
    <s v="NAN"/>
    <n v="101.4"/>
    <n v="25"/>
    <s v="FEMALE"/>
    <x v="2"/>
    <x v="1"/>
    <n v="101.4"/>
    <x v="0"/>
    <s v="MISSING DELIVERY STATUS"/>
    <x v="2"/>
    <n v="10"/>
    <x v="2"/>
  </r>
  <r>
    <s v="CUST0398"/>
    <x v="4"/>
    <n v="8"/>
    <n v="7"/>
    <s v="NO"/>
    <n v="151.83000000000001"/>
    <n v="42"/>
    <s v="OTHER"/>
    <x v="0"/>
    <x v="2"/>
    <n v="151.83000000000001"/>
    <x v="0"/>
    <s v="OK"/>
    <x v="1"/>
    <n v="7"/>
    <x v="1"/>
  </r>
  <r>
    <s v="CUST0010"/>
    <x v="4"/>
    <n v="6"/>
    <n v="5"/>
    <s v="NO"/>
    <n v="134.44"/>
    <n v="32"/>
    <s v="M"/>
    <x v="0"/>
    <x v="0"/>
    <n v="134.44"/>
    <x v="0"/>
    <s v="OK"/>
    <x v="1"/>
    <n v="7"/>
    <x v="1"/>
  </r>
  <r>
    <s v="CUST0851"/>
    <x v="2"/>
    <n v="10"/>
    <n v="5"/>
    <s v="NO"/>
    <n v="96.95"/>
    <n v="29"/>
    <s v="FEMALE"/>
    <x v="0"/>
    <x v="1"/>
    <n v="96.95"/>
    <x v="0"/>
    <s v="OK"/>
    <x v="2"/>
    <n v="7"/>
    <x v="1"/>
  </r>
  <r>
    <s v="CUST0238"/>
    <x v="4"/>
    <n v="10"/>
    <n v="4"/>
    <s v="YES"/>
    <n v="65.39"/>
    <n v="27"/>
    <s v="M"/>
    <x v="1"/>
    <x v="0"/>
    <n v="65.39"/>
    <x v="0"/>
    <s v="OK"/>
    <x v="2"/>
    <n v="7"/>
    <x v="1"/>
  </r>
  <r>
    <s v="CUST0991"/>
    <x v="4"/>
    <n v="6"/>
    <n v="4"/>
    <s v="NO"/>
    <n v="50.74"/>
    <n v="38"/>
    <s v="FEMALE"/>
    <x v="0"/>
    <x v="1"/>
    <n v="50.74"/>
    <x v="0"/>
    <s v="OK"/>
    <x v="1"/>
    <n v="7"/>
    <x v="1"/>
  </r>
  <r>
    <s v="CUST0177"/>
    <x v="2"/>
    <n v="9"/>
    <n v="0"/>
    <s v="YES"/>
    <n v="108.03"/>
    <n v="16"/>
    <s v=""/>
    <x v="1"/>
    <x v="2"/>
    <n v="108.03"/>
    <x v="0"/>
    <s v="OK"/>
    <x v="2"/>
    <n v="7"/>
    <x v="1"/>
  </r>
  <r>
    <s v="CUST0800"/>
    <x v="2"/>
    <n v="9"/>
    <n v="8"/>
    <s v="Y"/>
    <n v="100.44"/>
    <n v="14"/>
    <s v="FEMALE"/>
    <x v="1"/>
    <x v="1"/>
    <n v="100.44"/>
    <x v="0"/>
    <s v="OK"/>
    <x v="4"/>
    <n v="7"/>
    <x v="0"/>
  </r>
  <r>
    <s v="CUST0422"/>
    <x v="4"/>
    <n v="6"/>
    <n v="6"/>
    <s v="Y"/>
    <n v="62.11"/>
    <n v="26"/>
    <s v="FEMALE"/>
    <x v="1"/>
    <x v="1"/>
    <n v="62.11"/>
    <x v="0"/>
    <s v="OK"/>
    <x v="2"/>
    <n v="7"/>
    <x v="1"/>
  </r>
  <r>
    <s v="GUEST"/>
    <x v="1"/>
    <n v="10"/>
    <n v="4"/>
    <s v="NAN"/>
    <n v="162.74"/>
    <n v="59"/>
    <s v="FEMALE"/>
    <x v="2"/>
    <x v="1"/>
    <n v="162.74"/>
    <x v="0"/>
    <s v="OK"/>
    <x v="1"/>
    <n v="10"/>
    <x v="1"/>
  </r>
  <r>
    <s v="CUST0709"/>
    <x v="3"/>
    <n v="8"/>
    <n v="7"/>
    <s v="Y"/>
    <n v="128.97"/>
    <n v="31"/>
    <s v="FEMALE"/>
    <x v="1"/>
    <x v="1"/>
    <n v="128.97"/>
    <x v="0"/>
    <s v="OK"/>
    <x v="1"/>
    <s v="NA"/>
    <x v="2"/>
  </r>
  <r>
    <s v="CUST0926"/>
    <x v="2"/>
    <n v="9"/>
    <n v="9"/>
    <s v=""/>
    <n v="8440"/>
    <n v="30"/>
    <s v="OTHER"/>
    <x v="2"/>
    <x v="2"/>
    <n v="8440"/>
    <x v="0"/>
    <s v="OK"/>
    <x v="1"/>
    <n v="7"/>
    <x v="0"/>
  </r>
  <r>
    <s v="CUST0732"/>
    <x v="0"/>
    <n v="7"/>
    <n v="3"/>
    <s v="Y"/>
    <n v="104.71"/>
    <m/>
    <s v="PREFER NOT TO SAY"/>
    <x v="1"/>
    <x v="2"/>
    <n v="104.71"/>
    <x v="0"/>
    <s v="OK"/>
    <x v="0"/>
    <n v="5"/>
    <x v="1"/>
  </r>
  <r>
    <s v="CUST0614"/>
    <x v="4"/>
    <n v="8"/>
    <n v="4"/>
    <s v="NAN"/>
    <n v="108.85"/>
    <m/>
    <s v="MALE"/>
    <x v="2"/>
    <x v="0"/>
    <n v="108.85"/>
    <x v="0"/>
    <s v="OK"/>
    <x v="0"/>
    <n v="7"/>
    <x v="1"/>
  </r>
  <r>
    <s v="CUST0285"/>
    <x v="4"/>
    <n v="9"/>
    <n v="5"/>
    <s v="YES"/>
    <n v="160.51"/>
    <n v="37"/>
    <s v="MALE"/>
    <x v="1"/>
    <x v="0"/>
    <n v="160.51"/>
    <x v="0"/>
    <s v="OK"/>
    <x v="1"/>
    <n v="7"/>
    <x v="1"/>
  </r>
  <r>
    <s v="CUST0794"/>
    <x v="1"/>
    <n v="5"/>
    <n v="5"/>
    <s v="NO"/>
    <n v="121.16"/>
    <n v="26"/>
    <s v="NAN"/>
    <x v="0"/>
    <x v="2"/>
    <n v="121.16"/>
    <x v="0"/>
    <s v="OK"/>
    <x v="2"/>
    <n v="10"/>
    <x v="1"/>
  </r>
  <r>
    <s v="CUST0260"/>
    <x v="2"/>
    <n v="6"/>
    <n v="6"/>
    <s v="NO"/>
    <n v="117.22"/>
    <n v="19"/>
    <s v="MALE"/>
    <x v="0"/>
    <x v="0"/>
    <n v="117.22"/>
    <x v="0"/>
    <s v="OK"/>
    <x v="2"/>
    <n v="7"/>
    <x v="1"/>
  </r>
  <r>
    <s v="CUST0747"/>
    <x v="2"/>
    <n v="10"/>
    <n v="6"/>
    <s v="NAN"/>
    <n v="76.31"/>
    <n v="55"/>
    <s v="MALE"/>
    <x v="2"/>
    <x v="0"/>
    <n v="76.31"/>
    <x v="0"/>
    <s v="OK"/>
    <x v="1"/>
    <n v="7"/>
    <x v="1"/>
  </r>
  <r>
    <s v="CUST0796"/>
    <x v="2"/>
    <n v="10"/>
    <n v="4"/>
    <s v="N"/>
    <n v="107.09"/>
    <n v="29"/>
    <s v="M"/>
    <x v="0"/>
    <x v="0"/>
    <n v="107.09"/>
    <x v="0"/>
    <s v="OK"/>
    <x v="2"/>
    <n v="7"/>
    <x v="1"/>
  </r>
  <r>
    <s v="CUST0429"/>
    <x v="0"/>
    <n v="9"/>
    <n v="4"/>
    <s v=""/>
    <n v="17091"/>
    <n v="46"/>
    <s v="PREFER NOT TO SAY"/>
    <x v="2"/>
    <x v="2"/>
    <n v="17091"/>
    <x v="0"/>
    <s v="OK"/>
    <x v="1"/>
    <n v="5"/>
    <x v="1"/>
  </r>
  <r>
    <s v="CUST0417"/>
    <x v="0"/>
    <n v="7"/>
    <n v="4"/>
    <s v="YES"/>
    <n v="176.76"/>
    <n v="11"/>
    <s v="PREFER NOT TO SAY"/>
    <x v="1"/>
    <x v="2"/>
    <n v="176.76"/>
    <x v="0"/>
    <s v="OK"/>
    <x v="4"/>
    <n v="5"/>
    <x v="1"/>
  </r>
  <r>
    <s v="CUST0573"/>
    <x v="0"/>
    <n v="8"/>
    <n v="7"/>
    <s v="YES"/>
    <n v="85.33"/>
    <n v="33"/>
    <s v="F"/>
    <x v="1"/>
    <x v="1"/>
    <n v="85.33"/>
    <x v="0"/>
    <s v="OK"/>
    <x v="1"/>
    <n v="5"/>
    <x v="0"/>
  </r>
  <r>
    <s v="CUST0239"/>
    <x v="2"/>
    <n v="10"/>
    <n v="9"/>
    <s v="N"/>
    <n v="165.4"/>
    <n v="36"/>
    <s v="MALE"/>
    <x v="0"/>
    <x v="0"/>
    <n v="165.4"/>
    <x v="0"/>
    <s v="OK"/>
    <x v="1"/>
    <n v="7"/>
    <x v="0"/>
  </r>
  <r>
    <s v="CUST0473"/>
    <x v="2"/>
    <n v="6"/>
    <n v="6"/>
    <s v="YES"/>
    <n v="58.11"/>
    <n v="49"/>
    <s v="M"/>
    <x v="1"/>
    <x v="0"/>
    <n v="58.11"/>
    <x v="0"/>
    <s v="OK"/>
    <x v="1"/>
    <n v="7"/>
    <x v="1"/>
  </r>
  <r>
    <s v="CUST0216"/>
    <x v="0"/>
    <n v="5"/>
    <n v="8"/>
    <s v="NAN"/>
    <n v="71.92"/>
    <n v="47"/>
    <s v="M"/>
    <x v="2"/>
    <x v="0"/>
    <n v="71.92"/>
    <x v="0"/>
    <s v="OK"/>
    <x v="1"/>
    <n v="5"/>
    <x v="0"/>
  </r>
  <r>
    <s v="CUST0746"/>
    <x v="4"/>
    <n v="8"/>
    <n v="5"/>
    <s v="YES"/>
    <n v="122.54"/>
    <n v="35"/>
    <s v="F"/>
    <x v="1"/>
    <x v="1"/>
    <n v="122.54"/>
    <x v="0"/>
    <s v="OK"/>
    <x v="1"/>
    <n v="7"/>
    <x v="1"/>
  </r>
  <r>
    <s v="CUST0247"/>
    <x v="3"/>
    <n v="7"/>
    <n v="4"/>
    <s v="Y"/>
    <n v="122.18"/>
    <n v="38"/>
    <s v="MALE"/>
    <x v="1"/>
    <x v="0"/>
    <n v="122.18"/>
    <x v="0"/>
    <s v="OK"/>
    <x v="1"/>
    <s v="NA"/>
    <x v="2"/>
  </r>
  <r>
    <s v="CUST0477"/>
    <x v="0"/>
    <n v="10"/>
    <n v="7"/>
    <s v="YES"/>
    <n v="117.25"/>
    <n v="41"/>
    <s v="PREFER NOT TO SAY"/>
    <x v="1"/>
    <x v="2"/>
    <n v="117.25"/>
    <x v="0"/>
    <s v="OK"/>
    <x v="1"/>
    <n v="5"/>
    <x v="0"/>
  </r>
  <r>
    <s v="CUST0126"/>
    <x v="1"/>
    <n v="7"/>
    <n v="5"/>
    <s v="NO"/>
    <n v="142.97"/>
    <n v="41"/>
    <s v="MALE"/>
    <x v="0"/>
    <x v="0"/>
    <n v="142.97"/>
    <x v="0"/>
    <s v="OK"/>
    <x v="1"/>
    <n v="10"/>
    <x v="1"/>
  </r>
  <r>
    <s v="CUST0309"/>
    <x v="1"/>
    <n v="8"/>
    <n v="5"/>
    <s v="Y"/>
    <n v="184.9"/>
    <n v="7"/>
    <s v="NAN"/>
    <x v="1"/>
    <x v="2"/>
    <n v="184.9"/>
    <x v="0"/>
    <s v="OK"/>
    <x v="4"/>
    <n v="10"/>
    <x v="1"/>
  </r>
  <r>
    <s v="CUST0776"/>
    <x v="0"/>
    <n v="12"/>
    <n v="5"/>
    <s v="NO"/>
    <n v="29.1"/>
    <m/>
    <s v="M"/>
    <x v="0"/>
    <x v="0"/>
    <n v="29.1"/>
    <x v="0"/>
    <s v="OK"/>
    <x v="0"/>
    <n v="5"/>
    <x v="1"/>
  </r>
  <r>
    <s v="CUST0367"/>
    <x v="4"/>
    <n v="5"/>
    <m/>
    <s v="YES"/>
    <n v="59.59"/>
    <n v="51"/>
    <s v="OTHER"/>
    <x v="1"/>
    <x v="2"/>
    <n v="59.59"/>
    <x v="0"/>
    <s v="MISSING DELIVERY STATUS"/>
    <x v="1"/>
    <n v="7"/>
    <x v="2"/>
  </r>
  <r>
    <s v="CUST0775"/>
    <x v="4"/>
    <n v="2"/>
    <n v="3"/>
    <s v="Y"/>
    <n v="74.930000000000007"/>
    <n v="45"/>
    <s v="PREFER NOT TO SAY"/>
    <x v="1"/>
    <x v="2"/>
    <n v="74.930000000000007"/>
    <x v="0"/>
    <s v="OK"/>
    <x v="1"/>
    <n v="7"/>
    <x v="1"/>
  </r>
  <r>
    <s v="CUST0545"/>
    <x v="3"/>
    <n v="6"/>
    <n v="3"/>
    <s v="N"/>
    <n v="160.12"/>
    <n v="27"/>
    <s v="M"/>
    <x v="0"/>
    <x v="0"/>
    <n v="160.12"/>
    <x v="0"/>
    <s v="OK"/>
    <x v="2"/>
    <s v="NA"/>
    <x v="2"/>
  </r>
  <r>
    <s v="CUST0256"/>
    <x v="2"/>
    <n v="10"/>
    <n v="8"/>
    <s v=""/>
    <n v="76.2"/>
    <n v="47"/>
    <s v="OTHER"/>
    <x v="2"/>
    <x v="2"/>
    <n v="76.2"/>
    <x v="0"/>
    <s v="OK"/>
    <x v="1"/>
    <n v="7"/>
    <x v="0"/>
  </r>
  <r>
    <s v="CUST0117"/>
    <x v="0"/>
    <n v="4"/>
    <n v="3"/>
    <s v=""/>
    <n v="106.14"/>
    <n v="72"/>
    <s v="OTHER"/>
    <x v="2"/>
    <x v="2"/>
    <n v="106.14"/>
    <x v="0"/>
    <s v="OK"/>
    <x v="3"/>
    <n v="5"/>
    <x v="1"/>
  </r>
  <r>
    <s v="CUST0430"/>
    <x v="1"/>
    <n v="4"/>
    <n v="3"/>
    <s v="YES"/>
    <n v="20.56"/>
    <n v="58"/>
    <s v="MALE"/>
    <x v="1"/>
    <x v="0"/>
    <n v="20.56"/>
    <x v="0"/>
    <s v="OK"/>
    <x v="1"/>
    <n v="10"/>
    <x v="1"/>
  </r>
  <r>
    <s v="CUST0626"/>
    <x v="4"/>
    <n v="7"/>
    <n v="3"/>
    <s v="Y"/>
    <n v="49.39"/>
    <n v="23"/>
    <s v="OTHER"/>
    <x v="1"/>
    <x v="2"/>
    <n v="49.39"/>
    <x v="0"/>
    <s v="OK"/>
    <x v="2"/>
    <n v="7"/>
    <x v="1"/>
  </r>
  <r>
    <s v="CUST0236"/>
    <x v="1"/>
    <n v="8"/>
    <n v="2"/>
    <s v="NO"/>
    <n v="95.72"/>
    <n v="36"/>
    <s v="OTHER"/>
    <x v="0"/>
    <x v="2"/>
    <n v="95.72"/>
    <x v="0"/>
    <s v="OK"/>
    <x v="1"/>
    <n v="10"/>
    <x v="1"/>
  </r>
  <r>
    <s v="CUST0969"/>
    <x v="4"/>
    <n v="6"/>
    <n v="7"/>
    <s v="YES"/>
    <n v="165.74"/>
    <n v="21"/>
    <s v="NAN"/>
    <x v="1"/>
    <x v="2"/>
    <n v="165.74"/>
    <x v="0"/>
    <s v="OK"/>
    <x v="2"/>
    <n v="7"/>
    <x v="1"/>
  </r>
  <r>
    <s v="CUST0771"/>
    <x v="0"/>
    <n v="6"/>
    <n v="4"/>
    <s v="NO"/>
    <n v="65.64"/>
    <n v="60"/>
    <s v="FEMALE"/>
    <x v="0"/>
    <x v="1"/>
    <n v="65.64"/>
    <x v="0"/>
    <s v="OK"/>
    <x v="3"/>
    <n v="5"/>
    <x v="1"/>
  </r>
  <r>
    <s v="CUST0405"/>
    <x v="3"/>
    <n v="8"/>
    <m/>
    <s v=""/>
    <n v="94.22"/>
    <n v="1"/>
    <s v="OTHER"/>
    <x v="2"/>
    <x v="2"/>
    <n v="94.22"/>
    <x v="0"/>
    <s v="MISSING DELIVERY STATUS"/>
    <x v="4"/>
    <s v="NA"/>
    <x v="2"/>
  </r>
  <r>
    <s v="GUEST"/>
    <x v="1"/>
    <n v="5"/>
    <n v="8"/>
    <s v="YES"/>
    <n v="141.33000000000001"/>
    <n v="22"/>
    <s v="FEMALE"/>
    <x v="1"/>
    <x v="1"/>
    <n v="141.33000000000001"/>
    <x v="0"/>
    <s v="OK"/>
    <x v="2"/>
    <n v="10"/>
    <x v="1"/>
  </r>
  <r>
    <s v="CUST0918"/>
    <x v="1"/>
    <n v="5"/>
    <n v="6"/>
    <s v="NO"/>
    <n v="33.71"/>
    <n v="39"/>
    <s v="PREFER NOT TO SAY"/>
    <x v="0"/>
    <x v="2"/>
    <n v="33.71"/>
    <x v="0"/>
    <s v="OK"/>
    <x v="1"/>
    <n v="10"/>
    <x v="1"/>
  </r>
  <r>
    <s v="CUST0105"/>
    <x v="4"/>
    <n v="7"/>
    <n v="4"/>
    <s v="N"/>
    <n v="74.89"/>
    <n v="44"/>
    <s v="M"/>
    <x v="0"/>
    <x v="0"/>
    <n v="74.89"/>
    <x v="0"/>
    <s v="OK"/>
    <x v="1"/>
    <n v="7"/>
    <x v="1"/>
  </r>
  <r>
    <s v="CUST0958"/>
    <x v="0"/>
    <n v="9"/>
    <n v="4"/>
    <s v="YES"/>
    <n v="40.22"/>
    <n v="21"/>
    <s v="FEMALE"/>
    <x v="1"/>
    <x v="1"/>
    <n v="40.22"/>
    <x v="0"/>
    <s v="OK"/>
    <x v="2"/>
    <n v="5"/>
    <x v="1"/>
  </r>
  <r>
    <s v="CUST0737"/>
    <x v="1"/>
    <n v="8"/>
    <n v="5"/>
    <s v="YES"/>
    <n v="94.63"/>
    <n v="62"/>
    <s v="OTHER"/>
    <x v="1"/>
    <x v="2"/>
    <n v="94.63"/>
    <x v="0"/>
    <s v="OK"/>
    <x v="3"/>
    <n v="10"/>
    <x v="1"/>
  </r>
  <r>
    <s v="CUST0400"/>
    <x v="0"/>
    <n v="9"/>
    <n v="2"/>
    <s v="NAN"/>
    <n v="112.24"/>
    <n v="38"/>
    <s v="NAN"/>
    <x v="2"/>
    <x v="2"/>
    <n v="112.24"/>
    <x v="0"/>
    <s v="OK"/>
    <x v="1"/>
    <n v="5"/>
    <x v="1"/>
  </r>
  <r>
    <s v="CUST0541"/>
    <x v="2"/>
    <n v="6"/>
    <n v="0"/>
    <s v=""/>
    <n v="88.92"/>
    <m/>
    <s v="F"/>
    <x v="2"/>
    <x v="1"/>
    <n v="88.92"/>
    <x v="0"/>
    <s v="OK"/>
    <x v="0"/>
    <n v="7"/>
    <x v="1"/>
  </r>
  <r>
    <s v="CUST0832"/>
    <x v="0"/>
    <n v="8"/>
    <n v="5"/>
    <s v="N"/>
    <n v="115.74"/>
    <n v="23"/>
    <s v="MALE"/>
    <x v="0"/>
    <x v="0"/>
    <n v="115.74"/>
    <x v="0"/>
    <s v="OK"/>
    <x v="2"/>
    <n v="5"/>
    <x v="1"/>
  </r>
  <r>
    <s v="CUST0404"/>
    <x v="0"/>
    <n v="4"/>
    <n v="8"/>
    <s v="N"/>
    <n v="158.03"/>
    <n v="31"/>
    <s v="PREFER NOT TO SAY"/>
    <x v="0"/>
    <x v="2"/>
    <n v="158.03"/>
    <x v="0"/>
    <s v="OK"/>
    <x v="1"/>
    <n v="5"/>
    <x v="0"/>
  </r>
  <r>
    <s v="CUST0793"/>
    <x v="0"/>
    <n v="5"/>
    <n v="9"/>
    <s v="NO"/>
    <n v="71.75"/>
    <n v="77"/>
    <s v="MALE"/>
    <x v="0"/>
    <x v="0"/>
    <n v="71.75"/>
    <x v="0"/>
    <s v="OK"/>
    <x v="3"/>
    <n v="5"/>
    <x v="0"/>
  </r>
  <r>
    <s v="CUST0515"/>
    <x v="4"/>
    <n v="8"/>
    <n v="6"/>
    <s v="YES"/>
    <n v="108.63"/>
    <n v="27"/>
    <s v="M"/>
    <x v="1"/>
    <x v="0"/>
    <n v="108.63"/>
    <x v="0"/>
    <s v="OK"/>
    <x v="2"/>
    <n v="7"/>
    <x v="1"/>
  </r>
  <r>
    <s v="CUST0824"/>
    <x v="2"/>
    <n v="10"/>
    <n v="5"/>
    <s v="NO"/>
    <n v="110.58"/>
    <n v="38"/>
    <s v="FEMALE"/>
    <x v="0"/>
    <x v="1"/>
    <n v="110.58"/>
    <x v="0"/>
    <s v="OK"/>
    <x v="1"/>
    <n v="7"/>
    <x v="1"/>
  </r>
  <r>
    <s v="CUST0074"/>
    <x v="4"/>
    <n v="5"/>
    <m/>
    <s v="Y"/>
    <n v="151.91999999999999"/>
    <n v="33"/>
    <s v="PREFER NOT TO SAY"/>
    <x v="1"/>
    <x v="2"/>
    <n v="151.91999999999999"/>
    <x v="0"/>
    <s v="MISSING DELIVERY STATUS"/>
    <x v="1"/>
    <n v="7"/>
    <x v="2"/>
  </r>
  <r>
    <s v="CUST0858"/>
    <x v="2"/>
    <n v="5"/>
    <n v="2"/>
    <s v="YES"/>
    <n v="152.38999999999999"/>
    <n v="43"/>
    <s v="MALE"/>
    <x v="1"/>
    <x v="0"/>
    <n v="152.38999999999999"/>
    <x v="0"/>
    <s v="OK"/>
    <x v="1"/>
    <n v="7"/>
    <x v="1"/>
  </r>
  <r>
    <s v="CUST0601"/>
    <x v="0"/>
    <n v="10"/>
    <n v="6"/>
    <s v="Y"/>
    <n v="73.09"/>
    <n v="46"/>
    <s v="NAN"/>
    <x v="1"/>
    <x v="2"/>
    <n v="73.09"/>
    <x v="0"/>
    <s v="OK"/>
    <x v="1"/>
    <n v="5"/>
    <x v="0"/>
  </r>
  <r>
    <s v="CUST0619"/>
    <x v="2"/>
    <n v="8"/>
    <n v="1"/>
    <s v="N"/>
    <n v="75.599999999999994"/>
    <n v="48"/>
    <s v=""/>
    <x v="0"/>
    <x v="2"/>
    <n v="75.599999999999994"/>
    <x v="0"/>
    <s v="OK"/>
    <x v="1"/>
    <n v="7"/>
    <x v="1"/>
  </r>
  <r>
    <s v="CUST0582"/>
    <x v="0"/>
    <n v="11"/>
    <n v="5"/>
    <s v="Y"/>
    <n v="128.68"/>
    <n v="11"/>
    <s v="PREFER NOT TO SAY"/>
    <x v="1"/>
    <x v="2"/>
    <n v="128.68"/>
    <x v="0"/>
    <s v="OK"/>
    <x v="4"/>
    <n v="5"/>
    <x v="1"/>
  </r>
  <r>
    <s v="CUST0423"/>
    <x v="4"/>
    <n v="10"/>
    <n v="2"/>
    <s v="YES"/>
    <n v="101.24"/>
    <n v="15"/>
    <s v="PREFER NOT TO SAY"/>
    <x v="1"/>
    <x v="2"/>
    <n v="101.24"/>
    <x v="0"/>
    <s v="OK"/>
    <x v="2"/>
    <n v="7"/>
    <x v="1"/>
  </r>
  <r>
    <s v="CUST0178"/>
    <x v="2"/>
    <n v="6"/>
    <n v="7"/>
    <s v="N"/>
    <n v="102.67"/>
    <n v="18"/>
    <s v="F"/>
    <x v="0"/>
    <x v="1"/>
    <n v="102.67"/>
    <x v="0"/>
    <s v="OK"/>
    <x v="2"/>
    <n v="7"/>
    <x v="1"/>
  </r>
  <r>
    <s v="CUST0599"/>
    <x v="1"/>
    <n v="7"/>
    <n v="7"/>
    <s v="NO"/>
    <n v="74.14"/>
    <n v="51"/>
    <s v="OTHER"/>
    <x v="0"/>
    <x v="2"/>
    <n v="74.14"/>
    <x v="0"/>
    <s v="OK"/>
    <x v="1"/>
    <n v="10"/>
    <x v="1"/>
  </r>
  <r>
    <s v="CUST0047"/>
    <x v="1"/>
    <n v="6"/>
    <n v="7"/>
    <s v="NAN"/>
    <n v="161.06"/>
    <n v="37"/>
    <s v="M"/>
    <x v="2"/>
    <x v="0"/>
    <n v="161.06"/>
    <x v="0"/>
    <s v="OK"/>
    <x v="1"/>
    <n v="10"/>
    <x v="1"/>
  </r>
  <r>
    <s v="CUST0141"/>
    <x v="1"/>
    <n v="4"/>
    <n v="9"/>
    <s v="NAN"/>
    <n v="78.459999999999994"/>
    <n v="42"/>
    <s v="F"/>
    <x v="2"/>
    <x v="1"/>
    <n v="78.459999999999994"/>
    <x v="0"/>
    <s v="OK"/>
    <x v="1"/>
    <n v="10"/>
    <x v="1"/>
  </r>
  <r>
    <s v="CUST0269"/>
    <x v="2"/>
    <n v="12"/>
    <n v="6"/>
    <s v="NO"/>
    <n v="90.88"/>
    <n v="19"/>
    <s v="M"/>
    <x v="0"/>
    <x v="0"/>
    <n v="90.88"/>
    <x v="0"/>
    <s v="OK"/>
    <x v="2"/>
    <n v="7"/>
    <x v="1"/>
  </r>
  <r>
    <s v="CUST0714"/>
    <x v="1"/>
    <n v="8"/>
    <n v="7"/>
    <s v="YES"/>
    <n v="109.24"/>
    <n v="36"/>
    <s v="MALE"/>
    <x v="1"/>
    <x v="0"/>
    <n v="109.24"/>
    <x v="0"/>
    <s v="OK"/>
    <x v="1"/>
    <n v="10"/>
    <x v="1"/>
  </r>
  <r>
    <s v="GUEST"/>
    <x v="0"/>
    <n v="6"/>
    <n v="8"/>
    <s v="YES"/>
    <n v="74.14"/>
    <n v="50"/>
    <s v="F"/>
    <x v="1"/>
    <x v="1"/>
    <n v="74.14"/>
    <x v="0"/>
    <s v="OK"/>
    <x v="1"/>
    <n v="5"/>
    <x v="0"/>
  </r>
  <r>
    <s v="CUST0763"/>
    <x v="0"/>
    <n v="10"/>
    <n v="5"/>
    <s v="YES"/>
    <n v="95.23"/>
    <n v="31"/>
    <s v="FEMALE"/>
    <x v="1"/>
    <x v="1"/>
    <n v="95.23"/>
    <x v="0"/>
    <s v="OK"/>
    <x v="1"/>
    <n v="5"/>
    <x v="1"/>
  </r>
  <r>
    <s v="CUST0935"/>
    <x v="1"/>
    <n v="7"/>
    <n v="6"/>
    <s v="NO"/>
    <n v="124.25"/>
    <n v="12"/>
    <s v="M"/>
    <x v="0"/>
    <x v="0"/>
    <n v="124.25"/>
    <x v="0"/>
    <s v="OK"/>
    <x v="4"/>
    <n v="10"/>
    <x v="1"/>
  </r>
  <r>
    <s v="CUST0079"/>
    <x v="2"/>
    <n v="7"/>
    <n v="4"/>
    <s v=""/>
    <n v="58.99"/>
    <n v="42"/>
    <s v="FEMALE"/>
    <x v="2"/>
    <x v="1"/>
    <n v="58.99"/>
    <x v="0"/>
    <s v="OK"/>
    <x v="1"/>
    <n v="7"/>
    <x v="1"/>
  </r>
  <r>
    <s v="CUST0336"/>
    <x v="1"/>
    <n v="4"/>
    <n v="4"/>
    <s v="YES"/>
    <n v="111.19"/>
    <n v="75"/>
    <s v=""/>
    <x v="1"/>
    <x v="2"/>
    <n v="111.19"/>
    <x v="0"/>
    <s v="OK"/>
    <x v="3"/>
    <n v="10"/>
    <x v="1"/>
  </r>
  <r>
    <s v="CUST0781"/>
    <x v="0"/>
    <n v="10"/>
    <n v="3"/>
    <s v="NO"/>
    <n v="167.07"/>
    <n v="30"/>
    <s v="PREFER NOT TO SAY"/>
    <x v="0"/>
    <x v="2"/>
    <n v="167.07"/>
    <x v="0"/>
    <s v="OK"/>
    <x v="1"/>
    <n v="5"/>
    <x v="1"/>
  </r>
  <r>
    <s v="CUST0513"/>
    <x v="2"/>
    <n v="9"/>
    <n v="6"/>
    <s v="YES"/>
    <n v="199.64"/>
    <n v="41"/>
    <s v="FEMALE"/>
    <x v="1"/>
    <x v="1"/>
    <n v="199.64"/>
    <x v="0"/>
    <s v="OK"/>
    <x v="1"/>
    <n v="7"/>
    <x v="1"/>
  </r>
  <r>
    <s v="CUST0638"/>
    <x v="2"/>
    <n v="11"/>
    <n v="2"/>
    <s v="YES"/>
    <n v="71.69"/>
    <n v="22"/>
    <s v="FEMALE"/>
    <x v="1"/>
    <x v="1"/>
    <n v="71.69"/>
    <x v="0"/>
    <s v="OK"/>
    <x v="2"/>
    <n v="7"/>
    <x v="1"/>
  </r>
  <r>
    <s v="CUST0901"/>
    <x v="0"/>
    <n v="3"/>
    <n v="7"/>
    <s v="NAN"/>
    <n v="156.91999999999999"/>
    <n v="41"/>
    <s v="M"/>
    <x v="2"/>
    <x v="0"/>
    <n v="156.91999999999999"/>
    <x v="0"/>
    <s v="OK"/>
    <x v="1"/>
    <n v="5"/>
    <x v="0"/>
  </r>
  <r>
    <s v="CUST0393"/>
    <x v="1"/>
    <n v="7"/>
    <n v="4"/>
    <s v="Y"/>
    <n v="131.41999999999999"/>
    <n v="9"/>
    <s v="PREFER NOT TO SAY"/>
    <x v="1"/>
    <x v="2"/>
    <n v="131.41999999999999"/>
    <x v="0"/>
    <s v="OK"/>
    <x v="4"/>
    <n v="10"/>
    <x v="1"/>
  </r>
  <r>
    <s v="CUST0396"/>
    <x v="1"/>
    <n v="4"/>
    <n v="5"/>
    <s v="YES"/>
    <n v="86.02"/>
    <n v="44"/>
    <s v=""/>
    <x v="1"/>
    <x v="2"/>
    <n v="86.02"/>
    <x v="0"/>
    <s v="OK"/>
    <x v="1"/>
    <n v="10"/>
    <x v="1"/>
  </r>
  <r>
    <s v="CUST0653"/>
    <x v="2"/>
    <n v="7"/>
    <n v="5"/>
    <s v="YES"/>
    <n v="72.3"/>
    <n v="39"/>
    <s v=""/>
    <x v="1"/>
    <x v="2"/>
    <n v="72.3"/>
    <x v="0"/>
    <s v="OK"/>
    <x v="1"/>
    <n v="7"/>
    <x v="1"/>
  </r>
  <r>
    <s v="CUST0172"/>
    <x v="0"/>
    <n v="6"/>
    <n v="3"/>
    <s v="YES"/>
    <n v="19786"/>
    <n v="11"/>
    <s v="M"/>
    <x v="1"/>
    <x v="0"/>
    <n v="19786"/>
    <x v="0"/>
    <s v="OK"/>
    <x v="4"/>
    <n v="5"/>
    <x v="1"/>
  </r>
  <r>
    <s v="CUST0540"/>
    <x v="4"/>
    <n v="4"/>
    <n v="3"/>
    <s v="NO"/>
    <n v="77.989999999999995"/>
    <n v="43"/>
    <s v="MALE"/>
    <x v="0"/>
    <x v="0"/>
    <n v="77.989999999999995"/>
    <x v="0"/>
    <s v="OK"/>
    <x v="1"/>
    <n v="7"/>
    <x v="1"/>
  </r>
  <r>
    <s v="CUST0084"/>
    <x v="1"/>
    <n v="6"/>
    <n v="6"/>
    <s v="N"/>
    <n v="114.92"/>
    <n v="48"/>
    <s v=""/>
    <x v="0"/>
    <x v="2"/>
    <n v="114.92"/>
    <x v="0"/>
    <s v="OK"/>
    <x v="1"/>
    <n v="10"/>
    <x v="1"/>
  </r>
  <r>
    <s v="CUST0137"/>
    <x v="0"/>
    <n v="6"/>
    <n v="5"/>
    <s v="NAN"/>
    <n v="12.78"/>
    <n v="33"/>
    <s v="PREFER NOT TO SAY"/>
    <x v="2"/>
    <x v="2"/>
    <n v="12.78"/>
    <x v="0"/>
    <s v="OK"/>
    <x v="1"/>
    <n v="5"/>
    <x v="1"/>
  </r>
  <r>
    <s v="CUST0979"/>
    <x v="1"/>
    <n v="9"/>
    <n v="4"/>
    <s v="Y"/>
    <n v="29.9"/>
    <n v="29"/>
    <s v="F"/>
    <x v="1"/>
    <x v="1"/>
    <n v="29.9"/>
    <x v="0"/>
    <s v="OK"/>
    <x v="2"/>
    <n v="10"/>
    <x v="1"/>
  </r>
  <r>
    <s v="CUST0905"/>
    <x v="2"/>
    <n v="8"/>
    <m/>
    <s v="NAN"/>
    <n v="99.49"/>
    <n v="53"/>
    <s v="OTHER"/>
    <x v="2"/>
    <x v="2"/>
    <n v="99.49"/>
    <x v="0"/>
    <s v="MISSING DELIVERY STATUS"/>
    <x v="1"/>
    <n v="7"/>
    <x v="2"/>
  </r>
  <r>
    <s v="CUST0837"/>
    <x v="2"/>
    <n v="8"/>
    <n v="6"/>
    <s v="NO"/>
    <n v="118.07"/>
    <n v="25"/>
    <s v="F"/>
    <x v="0"/>
    <x v="1"/>
    <n v="118.07"/>
    <x v="0"/>
    <s v="OK"/>
    <x v="2"/>
    <n v="7"/>
    <x v="1"/>
  </r>
  <r>
    <s v="CUST0444"/>
    <x v="1"/>
    <n v="6"/>
    <n v="5"/>
    <s v=""/>
    <n v="157.09"/>
    <n v="68"/>
    <s v="FEMALE"/>
    <x v="2"/>
    <x v="1"/>
    <n v="157.09"/>
    <x v="0"/>
    <s v="OK"/>
    <x v="3"/>
    <n v="10"/>
    <x v="1"/>
  </r>
  <r>
    <s v="CUST0190"/>
    <x v="4"/>
    <n v="3"/>
    <n v="5"/>
    <s v="NO"/>
    <n v="157.19"/>
    <n v="33"/>
    <s v=""/>
    <x v="0"/>
    <x v="2"/>
    <n v="157.19"/>
    <x v="0"/>
    <s v="OK"/>
    <x v="1"/>
    <n v="7"/>
    <x v="1"/>
  </r>
  <r>
    <s v="CUST0517"/>
    <x v="1"/>
    <n v="7"/>
    <n v="7"/>
    <s v="Y"/>
    <n v="222.23"/>
    <n v="36"/>
    <s v="MALE"/>
    <x v="1"/>
    <x v="0"/>
    <n v="222.23"/>
    <x v="0"/>
    <s v="OK"/>
    <x v="1"/>
    <n v="10"/>
    <x v="1"/>
  </r>
  <r>
    <s v="CUST0363"/>
    <x v="0"/>
    <n v="6"/>
    <n v="5"/>
    <s v="NAN"/>
    <n v="136.44999999999999"/>
    <n v="30"/>
    <s v="FEMALE"/>
    <x v="2"/>
    <x v="1"/>
    <n v="136.44999999999999"/>
    <x v="0"/>
    <s v="OK"/>
    <x v="1"/>
    <n v="5"/>
    <x v="1"/>
  </r>
  <r>
    <s v="CUST0579"/>
    <x v="4"/>
    <n v="7"/>
    <n v="6"/>
    <s v="N"/>
    <n v="163.46"/>
    <n v="28"/>
    <s v="M"/>
    <x v="0"/>
    <x v="0"/>
    <n v="163.46"/>
    <x v="0"/>
    <s v="OK"/>
    <x v="2"/>
    <n v="7"/>
    <x v="1"/>
  </r>
  <r>
    <s v="CUST0093"/>
    <x v="4"/>
    <n v="12"/>
    <m/>
    <s v="YES"/>
    <n v="143.26"/>
    <n v="48"/>
    <s v="NAN"/>
    <x v="1"/>
    <x v="2"/>
    <n v="143.26"/>
    <x v="0"/>
    <s v="MISSING DELIVERY STATUS"/>
    <x v="1"/>
    <n v="7"/>
    <x v="2"/>
  </r>
  <r>
    <s v="CUST0603"/>
    <x v="1"/>
    <n v="7"/>
    <n v="4"/>
    <s v=""/>
    <n v="114.31"/>
    <n v="58"/>
    <s v="NAN"/>
    <x v="2"/>
    <x v="2"/>
    <n v="114.31"/>
    <x v="0"/>
    <s v="OK"/>
    <x v="1"/>
    <n v="10"/>
    <x v="1"/>
  </r>
  <r>
    <s v="CUST0649"/>
    <x v="1"/>
    <n v="6"/>
    <n v="7"/>
    <s v="NAN"/>
    <n v="23.64"/>
    <m/>
    <s v="OTHER"/>
    <x v="2"/>
    <x v="2"/>
    <n v="23.64"/>
    <x v="0"/>
    <s v="OK"/>
    <x v="0"/>
    <n v="10"/>
    <x v="1"/>
  </r>
  <r>
    <s v="CUST0888"/>
    <x v="4"/>
    <m/>
    <n v="5"/>
    <s v="N"/>
    <n v="137.02000000000001"/>
    <n v="25"/>
    <s v="F"/>
    <x v="0"/>
    <x v="1"/>
    <n v="137.02000000000001"/>
    <x v="1"/>
    <s v="OK"/>
    <x v="2"/>
    <n v="7"/>
    <x v="1"/>
  </r>
  <r>
    <s v="CUST0082"/>
    <x v="1"/>
    <n v="9"/>
    <n v="6"/>
    <s v="NO"/>
    <n v="42.27"/>
    <n v="45"/>
    <s v="M"/>
    <x v="0"/>
    <x v="0"/>
    <n v="42.27"/>
    <x v="0"/>
    <s v="OK"/>
    <x v="1"/>
    <n v="10"/>
    <x v="1"/>
  </r>
  <r>
    <s v="CUST0646"/>
    <x v="0"/>
    <n v="4"/>
    <n v="3"/>
    <s v="YES"/>
    <n v="82.59"/>
    <n v="19"/>
    <s v="M"/>
    <x v="1"/>
    <x v="0"/>
    <n v="82.59"/>
    <x v="0"/>
    <s v="OK"/>
    <x v="2"/>
    <n v="5"/>
    <x v="1"/>
  </r>
  <r>
    <s v="CUST0208"/>
    <x v="1"/>
    <n v="8"/>
    <n v="7"/>
    <s v="NO"/>
    <n v="150.91"/>
    <m/>
    <s v="FEMALE"/>
    <x v="0"/>
    <x v="1"/>
    <n v="150.91"/>
    <x v="0"/>
    <s v="OK"/>
    <x v="0"/>
    <n v="10"/>
    <x v="1"/>
  </r>
  <r>
    <s v="CUST0434"/>
    <x v="1"/>
    <n v="9"/>
    <n v="3"/>
    <s v="YES"/>
    <n v="69.05"/>
    <n v="25"/>
    <s v="PREFER NOT TO SAY"/>
    <x v="1"/>
    <x v="2"/>
    <n v="69.05"/>
    <x v="0"/>
    <s v="OK"/>
    <x v="2"/>
    <n v="10"/>
    <x v="1"/>
  </r>
  <r>
    <s v="CUST0527"/>
    <x v="2"/>
    <n v="7"/>
    <n v="6"/>
    <s v="YES"/>
    <n v="104.04"/>
    <n v="44"/>
    <s v="PREFER NOT TO SAY"/>
    <x v="1"/>
    <x v="2"/>
    <n v="104.04"/>
    <x v="0"/>
    <s v="OK"/>
    <x v="1"/>
    <n v="7"/>
    <x v="1"/>
  </r>
  <r>
    <s v="CUST0974"/>
    <x v="3"/>
    <n v="7"/>
    <n v="6"/>
    <s v="Y"/>
    <n v="83.45"/>
    <n v="32"/>
    <s v="FEMALE"/>
    <x v="1"/>
    <x v="1"/>
    <n v="83.45"/>
    <x v="0"/>
    <s v="OK"/>
    <x v="1"/>
    <s v="NA"/>
    <x v="2"/>
  </r>
  <r>
    <s v="CUST0196"/>
    <x v="4"/>
    <n v="6"/>
    <n v="7"/>
    <s v="NO"/>
    <n v="85.56"/>
    <n v="68"/>
    <s v="NAN"/>
    <x v="0"/>
    <x v="2"/>
    <n v="85.56"/>
    <x v="0"/>
    <s v="OK"/>
    <x v="3"/>
    <n v="7"/>
    <x v="1"/>
  </r>
  <r>
    <s v="CUST0470"/>
    <x v="1"/>
    <n v="6"/>
    <n v="4"/>
    <s v="NO"/>
    <n v="36.479999999999997"/>
    <n v="26"/>
    <s v="PREFER NOT TO SAY"/>
    <x v="0"/>
    <x v="2"/>
    <n v="36.479999999999997"/>
    <x v="0"/>
    <s v="OK"/>
    <x v="2"/>
    <n v="10"/>
    <x v="1"/>
  </r>
  <r>
    <s v="CUST0992"/>
    <x v="1"/>
    <n v="9"/>
    <n v="2"/>
    <s v=""/>
    <n v="170.25"/>
    <m/>
    <s v="M"/>
    <x v="2"/>
    <x v="0"/>
    <n v="170.25"/>
    <x v="0"/>
    <s v="OK"/>
    <x v="0"/>
    <n v="10"/>
    <x v="1"/>
  </r>
  <r>
    <s v="CUST0829"/>
    <x v="2"/>
    <n v="6"/>
    <n v="4"/>
    <s v="YES"/>
    <n v="118.94"/>
    <n v="50"/>
    <s v="PREFER NOT TO SAY"/>
    <x v="1"/>
    <x v="2"/>
    <n v="118.94"/>
    <x v="0"/>
    <s v="OK"/>
    <x v="1"/>
    <n v="7"/>
    <x v="1"/>
  </r>
  <r>
    <s v="CUST0464"/>
    <x v="0"/>
    <n v="6"/>
    <n v="6"/>
    <s v="Y"/>
    <n v="67.89"/>
    <n v="32"/>
    <s v="FEMALE"/>
    <x v="1"/>
    <x v="1"/>
    <n v="67.89"/>
    <x v="0"/>
    <s v="OK"/>
    <x v="1"/>
    <n v="5"/>
    <x v="0"/>
  </r>
  <r>
    <s v="CUST0812"/>
    <x v="2"/>
    <n v="8"/>
    <n v="5"/>
    <s v="NO"/>
    <n v="63.9"/>
    <n v="67"/>
    <s v="MALE"/>
    <x v="0"/>
    <x v="0"/>
    <n v="63.9"/>
    <x v="0"/>
    <s v="OK"/>
    <x v="3"/>
    <n v="7"/>
    <x v="1"/>
  </r>
  <r>
    <s v="CUST0678"/>
    <x v="1"/>
    <n v="4"/>
    <n v="5"/>
    <s v="YES"/>
    <n v="113.18"/>
    <n v="53"/>
    <s v="FEMALE"/>
    <x v="1"/>
    <x v="1"/>
    <n v="113.18"/>
    <x v="0"/>
    <s v="OK"/>
    <x v="1"/>
    <n v="10"/>
    <x v="1"/>
  </r>
  <r>
    <s v="CUST0617"/>
    <x v="0"/>
    <n v="7"/>
    <n v="3"/>
    <s v="N"/>
    <n v="205.18"/>
    <n v="45"/>
    <s v="NAN"/>
    <x v="0"/>
    <x v="2"/>
    <n v="205.18"/>
    <x v="0"/>
    <s v="OK"/>
    <x v="1"/>
    <n v="5"/>
    <x v="1"/>
  </r>
  <r>
    <s v="CUST0411"/>
    <x v="2"/>
    <n v="7"/>
    <n v="4"/>
    <s v="NAN"/>
    <n v="158.25"/>
    <n v="7"/>
    <s v="M"/>
    <x v="2"/>
    <x v="0"/>
    <n v="158.25"/>
    <x v="0"/>
    <s v="OK"/>
    <x v="4"/>
    <n v="7"/>
    <x v="1"/>
  </r>
  <r>
    <s v="CUST0551"/>
    <x v="0"/>
    <n v="5"/>
    <n v="6"/>
    <s v="N"/>
    <n v="64.66"/>
    <n v="33"/>
    <s v=""/>
    <x v="0"/>
    <x v="2"/>
    <n v="64.66"/>
    <x v="0"/>
    <s v="OK"/>
    <x v="1"/>
    <n v="5"/>
    <x v="0"/>
  </r>
  <r>
    <s v="CUST0999"/>
    <x v="1"/>
    <n v="8"/>
    <n v="5"/>
    <s v="NAN"/>
    <n v="44.5"/>
    <n v="36"/>
    <s v="NAN"/>
    <x v="2"/>
    <x v="2"/>
    <n v="44.5"/>
    <x v="0"/>
    <s v="OK"/>
    <x v="1"/>
    <n v="10"/>
    <x v="1"/>
  </r>
  <r>
    <s v="CUST0157"/>
    <x v="3"/>
    <n v="8"/>
    <n v="8"/>
    <s v="YES"/>
    <n v="46.1"/>
    <n v="71"/>
    <s v="M"/>
    <x v="1"/>
    <x v="0"/>
    <n v="46.1"/>
    <x v="0"/>
    <s v="OK"/>
    <x v="3"/>
    <s v="NA"/>
    <x v="2"/>
  </r>
  <r>
    <s v="CUST0655"/>
    <x v="4"/>
    <n v="10"/>
    <n v="4"/>
    <s v="YES"/>
    <n v="160.05000000000001"/>
    <n v="34"/>
    <s v="F"/>
    <x v="1"/>
    <x v="1"/>
    <n v="160.05000000000001"/>
    <x v="0"/>
    <s v="OK"/>
    <x v="1"/>
    <n v="7"/>
    <x v="1"/>
  </r>
  <r>
    <s v="CUST0275"/>
    <x v="0"/>
    <n v="6"/>
    <n v="8"/>
    <s v="NAN"/>
    <n v="117.22"/>
    <n v="16"/>
    <s v="PREFER NOT TO SAY"/>
    <x v="2"/>
    <x v="2"/>
    <n v="117.22"/>
    <x v="0"/>
    <s v="OK"/>
    <x v="2"/>
    <n v="5"/>
    <x v="0"/>
  </r>
  <r>
    <s v="CUST0307"/>
    <x v="1"/>
    <n v="5"/>
    <n v="7"/>
    <s v="N"/>
    <n v="59.68"/>
    <n v="38"/>
    <s v="F"/>
    <x v="0"/>
    <x v="1"/>
    <n v="59.68"/>
    <x v="0"/>
    <s v="OK"/>
    <x v="1"/>
    <n v="10"/>
    <x v="1"/>
  </r>
  <r>
    <s v="CUST0868"/>
    <x v="4"/>
    <n v="8"/>
    <n v="5"/>
    <s v="Y"/>
    <n v="75.760000000000005"/>
    <n v="31"/>
    <s v="M"/>
    <x v="1"/>
    <x v="0"/>
    <n v="75.760000000000005"/>
    <x v="0"/>
    <s v="OK"/>
    <x v="1"/>
    <n v="7"/>
    <x v="1"/>
  </r>
  <r>
    <s v="CUST0283"/>
    <x v="4"/>
    <n v="2"/>
    <n v="7"/>
    <s v="NAN"/>
    <n v="68.489999999999995"/>
    <n v="60"/>
    <s v="NAN"/>
    <x v="2"/>
    <x v="2"/>
    <n v="68.489999999999995"/>
    <x v="0"/>
    <s v="OK"/>
    <x v="3"/>
    <n v="7"/>
    <x v="1"/>
  </r>
  <r>
    <s v="CUST0792"/>
    <x v="1"/>
    <n v="7"/>
    <n v="5"/>
    <s v=""/>
    <n v="135.86000000000001"/>
    <n v="38"/>
    <s v="OTHER"/>
    <x v="2"/>
    <x v="2"/>
    <n v="135.86000000000001"/>
    <x v="0"/>
    <s v="OK"/>
    <x v="1"/>
    <n v="10"/>
    <x v="1"/>
  </r>
  <r>
    <s v="CUST0476"/>
    <x v="1"/>
    <n v="4"/>
    <n v="7"/>
    <s v="N"/>
    <n v="111.94"/>
    <n v="59"/>
    <s v="FEMALE"/>
    <x v="0"/>
    <x v="1"/>
    <n v="111.94"/>
    <x v="0"/>
    <s v="OK"/>
    <x v="1"/>
    <n v="10"/>
    <x v="1"/>
  </r>
  <r>
    <s v="CUST0562"/>
    <x v="2"/>
    <n v="6"/>
    <n v="5"/>
    <s v="NO"/>
    <n v="95.83"/>
    <n v="30"/>
    <s v="PREFER NOT TO SAY"/>
    <x v="0"/>
    <x v="2"/>
    <n v="95.83"/>
    <x v="0"/>
    <s v="OK"/>
    <x v="1"/>
    <n v="7"/>
    <x v="1"/>
  </r>
  <r>
    <s v="CUST0419"/>
    <x v="1"/>
    <n v="6"/>
    <n v="1"/>
    <s v="NO"/>
    <n v="81.12"/>
    <n v="34"/>
    <s v="NAN"/>
    <x v="0"/>
    <x v="2"/>
    <n v="81.12"/>
    <x v="0"/>
    <s v="OK"/>
    <x v="1"/>
    <n v="10"/>
    <x v="1"/>
  </r>
  <r>
    <s v="CUST0019"/>
    <x v="1"/>
    <n v="6"/>
    <n v="7"/>
    <s v="YES"/>
    <n v="96.52"/>
    <n v="31"/>
    <s v="FEMALE"/>
    <x v="1"/>
    <x v="1"/>
    <n v="96.52"/>
    <x v="0"/>
    <s v="OK"/>
    <x v="1"/>
    <n v="10"/>
    <x v="1"/>
  </r>
  <r>
    <s v="CUST0919"/>
    <x v="1"/>
    <n v="8"/>
    <n v="9"/>
    <s v="NAN"/>
    <n v="67.05"/>
    <n v="55"/>
    <s v="F"/>
    <x v="2"/>
    <x v="1"/>
    <n v="67.05"/>
    <x v="0"/>
    <s v="OK"/>
    <x v="1"/>
    <n v="10"/>
    <x v="1"/>
  </r>
  <r>
    <s v="CUST0131"/>
    <x v="1"/>
    <n v="8"/>
    <m/>
    <s v="YES"/>
    <n v="48.6"/>
    <n v="4"/>
    <s v="F"/>
    <x v="1"/>
    <x v="1"/>
    <n v="48.6"/>
    <x v="0"/>
    <s v="MISSING DELIVERY STATUS"/>
    <x v="4"/>
    <n v="10"/>
    <x v="2"/>
  </r>
  <r>
    <s v="CUST0593"/>
    <x v="0"/>
    <n v="4"/>
    <n v="3"/>
    <s v="NAN"/>
    <n v="22.78"/>
    <n v="37"/>
    <s v="PREFER NOT TO SAY"/>
    <x v="2"/>
    <x v="2"/>
    <n v="22.78"/>
    <x v="0"/>
    <s v="OK"/>
    <x v="1"/>
    <n v="5"/>
    <x v="1"/>
  </r>
  <r>
    <s v="CUST0305"/>
    <x v="4"/>
    <n v="6"/>
    <m/>
    <s v="YES"/>
    <n v="91.4"/>
    <n v="31"/>
    <s v="OTHER"/>
    <x v="1"/>
    <x v="2"/>
    <n v="91.4"/>
    <x v="0"/>
    <s v="MISSING DELIVERY STATUS"/>
    <x v="1"/>
    <n v="7"/>
    <x v="2"/>
  </r>
  <r>
    <s v="CUST0065"/>
    <x v="2"/>
    <n v="7"/>
    <n v="6"/>
    <s v="NO"/>
    <n v="134.75"/>
    <m/>
    <s v="PREFER NOT TO SAY"/>
    <x v="0"/>
    <x v="2"/>
    <n v="134.75"/>
    <x v="0"/>
    <s v="OK"/>
    <x v="0"/>
    <n v="7"/>
    <x v="1"/>
  </r>
  <r>
    <s v="CUST0928"/>
    <x v="1"/>
    <n v="8"/>
    <n v="6"/>
    <s v="NO"/>
    <n v="47.07"/>
    <n v="23"/>
    <s v="FEMALE"/>
    <x v="0"/>
    <x v="1"/>
    <n v="47.07"/>
    <x v="0"/>
    <s v="OK"/>
    <x v="2"/>
    <n v="10"/>
    <x v="1"/>
  </r>
  <r>
    <s v="CUST0885"/>
    <x v="1"/>
    <n v="9"/>
    <n v="6"/>
    <s v="YES"/>
    <n v="107.47"/>
    <n v="35"/>
    <s v="F"/>
    <x v="1"/>
    <x v="1"/>
    <n v="107.47"/>
    <x v="0"/>
    <s v="OK"/>
    <x v="1"/>
    <n v="10"/>
    <x v="1"/>
  </r>
  <r>
    <s v="CUST0683"/>
    <x v="2"/>
    <n v="6"/>
    <n v="8"/>
    <s v="YES"/>
    <n v="160.22999999999999"/>
    <n v="37"/>
    <s v="MALE"/>
    <x v="1"/>
    <x v="0"/>
    <n v="160.22999999999999"/>
    <x v="0"/>
    <s v="OK"/>
    <x v="1"/>
    <n v="7"/>
    <x v="0"/>
  </r>
  <r>
    <s v="CUST0588"/>
    <x v="2"/>
    <n v="6"/>
    <m/>
    <s v="NAN"/>
    <n v="125.27"/>
    <n v="30"/>
    <s v="MALE"/>
    <x v="2"/>
    <x v="0"/>
    <n v="125.27"/>
    <x v="0"/>
    <s v="MISSING DELIVERY STATUS"/>
    <x v="1"/>
    <n v="7"/>
    <x v="2"/>
  </r>
  <r>
    <s v="GUEST"/>
    <x v="0"/>
    <n v="11"/>
    <n v="5"/>
    <s v="YES"/>
    <n v="118.76"/>
    <n v="34"/>
    <s v="F"/>
    <x v="1"/>
    <x v="1"/>
    <n v="118.76"/>
    <x v="0"/>
    <s v="OK"/>
    <x v="1"/>
    <n v="5"/>
    <x v="1"/>
  </r>
  <r>
    <s v="CUST0718"/>
    <x v="1"/>
    <n v="7"/>
    <n v="7"/>
    <s v="YES"/>
    <n v="78.06"/>
    <n v="40"/>
    <s v="F"/>
    <x v="1"/>
    <x v="1"/>
    <n v="78.06"/>
    <x v="0"/>
    <s v="OK"/>
    <x v="1"/>
    <n v="10"/>
    <x v="1"/>
  </r>
  <r>
    <s v="CUST0913"/>
    <x v="0"/>
    <n v="8"/>
    <n v="6"/>
    <s v="NO"/>
    <n v="73.73"/>
    <m/>
    <s v="FEMALE"/>
    <x v="0"/>
    <x v="1"/>
    <n v="73.73"/>
    <x v="0"/>
    <s v="OK"/>
    <x v="0"/>
    <n v="5"/>
    <x v="0"/>
  </r>
  <r>
    <s v="CUST0846"/>
    <x v="0"/>
    <n v="4"/>
    <n v="7"/>
    <s v="N"/>
    <n v="63.52"/>
    <n v="37"/>
    <s v="F"/>
    <x v="0"/>
    <x v="1"/>
    <n v="63.52"/>
    <x v="0"/>
    <s v="OK"/>
    <x v="1"/>
    <n v="5"/>
    <x v="0"/>
  </r>
  <r>
    <s v="CUST0148"/>
    <x v="2"/>
    <n v="5"/>
    <n v="5"/>
    <s v="Y"/>
    <n v="132.66"/>
    <n v="22"/>
    <s v=""/>
    <x v="1"/>
    <x v="2"/>
    <n v="132.66"/>
    <x v="0"/>
    <s v="OK"/>
    <x v="2"/>
    <n v="7"/>
    <x v="1"/>
  </r>
  <r>
    <s v="CUST0443"/>
    <x v="0"/>
    <n v="6"/>
    <n v="5"/>
    <s v="N"/>
    <n v="160.30000000000001"/>
    <n v="47"/>
    <s v="OTHER"/>
    <x v="0"/>
    <x v="2"/>
    <n v="160.30000000000001"/>
    <x v="0"/>
    <s v="OK"/>
    <x v="1"/>
    <n v="5"/>
    <x v="1"/>
  </r>
  <r>
    <s v="CUST0982"/>
    <x v="1"/>
    <n v="5"/>
    <m/>
    <s v="N"/>
    <n v="45.78"/>
    <n v="57"/>
    <s v="F"/>
    <x v="0"/>
    <x v="1"/>
    <n v="45.78"/>
    <x v="0"/>
    <s v="MISSING DELIVERY STATUS"/>
    <x v="1"/>
    <n v="10"/>
    <x v="2"/>
  </r>
  <r>
    <s v="CUST0506"/>
    <x v="0"/>
    <n v="8"/>
    <n v="5"/>
    <s v="Y"/>
    <n v="65.7"/>
    <n v="0"/>
    <s v="PREFER NOT TO SAY"/>
    <x v="1"/>
    <x v="2"/>
    <n v="65.7"/>
    <x v="0"/>
    <s v="OK"/>
    <x v="4"/>
    <n v="5"/>
    <x v="1"/>
  </r>
  <r>
    <s v="CUST0652"/>
    <x v="1"/>
    <n v="4"/>
    <n v="4"/>
    <s v="YES"/>
    <n v="153.9"/>
    <n v="31"/>
    <s v="OTHER"/>
    <x v="1"/>
    <x v="2"/>
    <n v="153.9"/>
    <x v="0"/>
    <s v="OK"/>
    <x v="1"/>
    <n v="10"/>
    <x v="1"/>
  </r>
  <r>
    <s v="CUST0064"/>
    <x v="0"/>
    <n v="5"/>
    <n v="5"/>
    <s v="YES"/>
    <n v="109.79"/>
    <m/>
    <s v="NAN"/>
    <x v="1"/>
    <x v="2"/>
    <n v="109.79"/>
    <x v="0"/>
    <s v="OK"/>
    <x v="0"/>
    <n v="5"/>
    <x v="1"/>
  </r>
  <r>
    <s v="CUST0460"/>
    <x v="2"/>
    <m/>
    <n v="3"/>
    <s v="Y"/>
    <n v="117.49"/>
    <n v="37"/>
    <s v=""/>
    <x v="1"/>
    <x v="2"/>
    <n v="117.49"/>
    <x v="1"/>
    <s v="OK"/>
    <x v="1"/>
    <n v="7"/>
    <x v="1"/>
  </r>
  <r>
    <s v="CUST0774"/>
    <x v="1"/>
    <n v="6"/>
    <n v="6"/>
    <s v="Y"/>
    <n v="138.21"/>
    <n v="29"/>
    <s v="MALE"/>
    <x v="1"/>
    <x v="0"/>
    <n v="138.21"/>
    <x v="0"/>
    <s v="OK"/>
    <x v="2"/>
    <n v="10"/>
    <x v="1"/>
  </r>
  <r>
    <s v="CUST0098"/>
    <x v="1"/>
    <n v="7"/>
    <m/>
    <s v="NO"/>
    <n v="44.13"/>
    <n v="40"/>
    <s v="PREFER NOT TO SAY"/>
    <x v="0"/>
    <x v="2"/>
    <n v="44.13"/>
    <x v="0"/>
    <s v="MISSING DELIVERY STATUS"/>
    <x v="1"/>
    <n v="10"/>
    <x v="2"/>
  </r>
  <r>
    <s v="CUST0899"/>
    <x v="2"/>
    <n v="5"/>
    <n v="4"/>
    <s v="YES"/>
    <n v="195.22"/>
    <n v="44"/>
    <s v="FEMALE"/>
    <x v="1"/>
    <x v="1"/>
    <n v="195.22"/>
    <x v="0"/>
    <s v="OK"/>
    <x v="1"/>
    <n v="7"/>
    <x v="1"/>
  </r>
  <r>
    <s v="CUST0660"/>
    <x v="4"/>
    <n v="9"/>
    <n v="7"/>
    <s v="YES"/>
    <n v="81.69"/>
    <n v="26"/>
    <s v="OTHER"/>
    <x v="1"/>
    <x v="2"/>
    <n v="81.69"/>
    <x v="0"/>
    <s v="OK"/>
    <x v="2"/>
    <n v="7"/>
    <x v="1"/>
  </r>
  <r>
    <s v="CUST0952"/>
    <x v="1"/>
    <n v="6"/>
    <n v="5"/>
    <s v="YES"/>
    <n v="55.1"/>
    <n v="41"/>
    <s v="FEMALE"/>
    <x v="1"/>
    <x v="1"/>
    <n v="55.1"/>
    <x v="0"/>
    <s v="OK"/>
    <x v="1"/>
    <n v="10"/>
    <x v="1"/>
  </r>
  <r>
    <s v="CUST0318"/>
    <x v="0"/>
    <n v="4"/>
    <n v="7"/>
    <s v="Y"/>
    <n v="130.5"/>
    <n v="58"/>
    <s v="FEMALE"/>
    <x v="1"/>
    <x v="1"/>
    <n v="130.5"/>
    <x v="0"/>
    <s v="OK"/>
    <x v="1"/>
    <n v="5"/>
    <x v="0"/>
  </r>
  <r>
    <s v="CUST0290"/>
    <x v="1"/>
    <n v="5"/>
    <n v="4"/>
    <s v="YES"/>
    <n v="72.56"/>
    <n v="34"/>
    <s v="OTHER"/>
    <x v="1"/>
    <x v="2"/>
    <n v="72.56"/>
    <x v="0"/>
    <s v="OK"/>
    <x v="1"/>
    <n v="10"/>
    <x v="1"/>
  </r>
  <r>
    <s v="CUST0687"/>
    <x v="4"/>
    <n v="7"/>
    <n v="5"/>
    <s v="Y"/>
    <n v="130.74"/>
    <n v="9"/>
    <s v="F"/>
    <x v="1"/>
    <x v="1"/>
    <n v="130.74"/>
    <x v="0"/>
    <s v="OK"/>
    <x v="4"/>
    <n v="7"/>
    <x v="1"/>
  </r>
  <r>
    <s v="CUST0427"/>
    <x v="0"/>
    <n v="10"/>
    <n v="8"/>
    <s v="NO"/>
    <n v="104.96"/>
    <n v="47"/>
    <s v="M"/>
    <x v="0"/>
    <x v="0"/>
    <n v="104.96"/>
    <x v="0"/>
    <s v="OK"/>
    <x v="1"/>
    <n v="5"/>
    <x v="0"/>
  </r>
  <r>
    <s v="CUST0908"/>
    <x v="2"/>
    <n v="9"/>
    <n v="3"/>
    <s v="NO"/>
    <n v="18.72"/>
    <n v="16"/>
    <s v="F"/>
    <x v="0"/>
    <x v="1"/>
    <n v="18.72"/>
    <x v="0"/>
    <s v="OK"/>
    <x v="2"/>
    <n v="7"/>
    <x v="1"/>
  </r>
  <r>
    <s v="CUST0566"/>
    <x v="4"/>
    <n v="8"/>
    <n v="8"/>
    <s v="NO"/>
    <n v="46.51"/>
    <n v="49"/>
    <s v="PREFER NOT TO SAY"/>
    <x v="0"/>
    <x v="2"/>
    <n v="46.51"/>
    <x v="0"/>
    <s v="OK"/>
    <x v="1"/>
    <n v="7"/>
    <x v="0"/>
  </r>
  <r>
    <s v="CUST0798"/>
    <x v="2"/>
    <n v="4"/>
    <n v="8"/>
    <s v="YES"/>
    <n v="161.49"/>
    <n v="75"/>
    <s v="MALE"/>
    <x v="1"/>
    <x v="0"/>
    <n v="161.49"/>
    <x v="0"/>
    <s v="OK"/>
    <x v="3"/>
    <n v="7"/>
    <x v="0"/>
  </r>
  <r>
    <s v="CUST0945"/>
    <x v="0"/>
    <n v="10"/>
    <n v="4"/>
    <s v="NAN"/>
    <n v="57.39"/>
    <n v="34"/>
    <s v="F"/>
    <x v="2"/>
    <x v="1"/>
    <n v="57.39"/>
    <x v="0"/>
    <s v="OK"/>
    <x v="1"/>
    <n v="5"/>
    <x v="1"/>
  </r>
  <r>
    <s v="CUST0204"/>
    <x v="3"/>
    <n v="5"/>
    <n v="5"/>
    <s v=""/>
    <n v="82.52"/>
    <n v="11"/>
    <s v="OTHER"/>
    <x v="2"/>
    <x v="2"/>
    <n v="82.52"/>
    <x v="0"/>
    <s v="OK"/>
    <x v="4"/>
    <s v="NA"/>
    <x v="2"/>
  </r>
  <r>
    <s v="CUST0641"/>
    <x v="4"/>
    <n v="7"/>
    <n v="9"/>
    <s v=""/>
    <n v="29.8"/>
    <n v="27"/>
    <s v=""/>
    <x v="2"/>
    <x v="2"/>
    <n v="29.8"/>
    <x v="0"/>
    <s v="OK"/>
    <x v="2"/>
    <n v="7"/>
    <x v="0"/>
  </r>
  <r>
    <s v="CUST0151"/>
    <x v="2"/>
    <n v="5"/>
    <n v="6"/>
    <s v="YES"/>
    <n v="121.48"/>
    <n v="44"/>
    <s v="F"/>
    <x v="1"/>
    <x v="1"/>
    <n v="121.48"/>
    <x v="0"/>
    <s v="OK"/>
    <x v="1"/>
    <n v="7"/>
    <x v="1"/>
  </r>
  <r>
    <s v="CUST0925"/>
    <x v="0"/>
    <n v="7"/>
    <n v="4"/>
    <s v="YES"/>
    <n v="63.89"/>
    <n v="51"/>
    <s v="OTHER"/>
    <x v="1"/>
    <x v="2"/>
    <n v="63.89"/>
    <x v="0"/>
    <s v="OK"/>
    <x v="1"/>
    <n v="5"/>
    <x v="1"/>
  </r>
  <r>
    <s v="CUST0034"/>
    <x v="4"/>
    <n v="7"/>
    <n v="6"/>
    <s v="YES"/>
    <n v="144.34"/>
    <n v="33"/>
    <s v="PREFER NOT TO SAY"/>
    <x v="1"/>
    <x v="2"/>
    <n v="144.34"/>
    <x v="0"/>
    <s v="OK"/>
    <x v="1"/>
    <n v="7"/>
    <x v="1"/>
  </r>
  <r>
    <s v="CUST0056"/>
    <x v="1"/>
    <n v="7"/>
    <n v="7"/>
    <s v="YES"/>
    <n v="105.69"/>
    <n v="64"/>
    <s v="F"/>
    <x v="1"/>
    <x v="1"/>
    <n v="105.69"/>
    <x v="0"/>
    <s v="OK"/>
    <x v="3"/>
    <n v="10"/>
    <x v="1"/>
  </r>
  <r>
    <s v="CUST0301"/>
    <x v="0"/>
    <n v="7"/>
    <n v="4"/>
    <s v="NO"/>
    <n v="112.61"/>
    <n v="24"/>
    <s v="FEMALE"/>
    <x v="0"/>
    <x v="1"/>
    <n v="112.61"/>
    <x v="0"/>
    <s v="OK"/>
    <x v="2"/>
    <n v="5"/>
    <x v="1"/>
  </r>
  <r>
    <s v="CUST0514"/>
    <x v="4"/>
    <n v="5"/>
    <n v="4"/>
    <s v="Y"/>
    <n v="61.04"/>
    <n v="23"/>
    <s v="FEMALE"/>
    <x v="1"/>
    <x v="1"/>
    <n v="61.04"/>
    <x v="0"/>
    <s v="OK"/>
    <x v="2"/>
    <n v="7"/>
    <x v="1"/>
  </r>
  <r>
    <s v="CUST0701"/>
    <x v="4"/>
    <m/>
    <n v="4"/>
    <s v="NO"/>
    <n v="149.69999999999999"/>
    <n v="57"/>
    <s v="MALE"/>
    <x v="0"/>
    <x v="0"/>
    <n v="149.69999999999999"/>
    <x v="1"/>
    <s v="OK"/>
    <x v="1"/>
    <n v="7"/>
    <x v="1"/>
  </r>
  <r>
    <s v="CUST0959"/>
    <x v="4"/>
    <n v="9"/>
    <n v="1"/>
    <s v="NO"/>
    <n v="88.97"/>
    <n v="34"/>
    <s v="FEMALE"/>
    <x v="0"/>
    <x v="1"/>
    <n v="88.97"/>
    <x v="0"/>
    <s v="OK"/>
    <x v="1"/>
    <n v="7"/>
    <x v="1"/>
  </r>
  <r>
    <s v="CUST0338"/>
    <x v="2"/>
    <n v="8"/>
    <n v="6"/>
    <s v="NO"/>
    <n v="8.6999999999999993"/>
    <n v="31"/>
    <s v="M"/>
    <x v="0"/>
    <x v="0"/>
    <n v="8.6999999999999993"/>
    <x v="0"/>
    <s v="OK"/>
    <x v="1"/>
    <n v="7"/>
    <x v="1"/>
  </r>
  <r>
    <s v="CUST0491"/>
    <x v="1"/>
    <n v="6"/>
    <n v="4"/>
    <s v="NO"/>
    <n v="161.19"/>
    <n v="18"/>
    <s v=""/>
    <x v="0"/>
    <x v="2"/>
    <n v="161.19"/>
    <x v="0"/>
    <s v="OK"/>
    <x v="2"/>
    <n v="10"/>
    <x v="1"/>
  </r>
  <r>
    <s v="CUST0508"/>
    <x v="2"/>
    <n v="9"/>
    <n v="5"/>
    <s v="N"/>
    <n v="88.03"/>
    <n v="30"/>
    <s v="F"/>
    <x v="0"/>
    <x v="1"/>
    <n v="88.03"/>
    <x v="0"/>
    <s v="OK"/>
    <x v="1"/>
    <n v="7"/>
    <x v="1"/>
  </r>
  <r>
    <s v="CUST0339"/>
    <x v="1"/>
    <n v="7"/>
    <n v="3"/>
    <s v="NO"/>
    <n v="34.29"/>
    <n v="30"/>
    <s v="OTHER"/>
    <x v="0"/>
    <x v="2"/>
    <n v="34.29"/>
    <x v="0"/>
    <s v="OK"/>
    <x v="1"/>
    <n v="10"/>
    <x v="1"/>
  </r>
  <r>
    <s v="CUST0657"/>
    <x v="2"/>
    <n v="9"/>
    <n v="4"/>
    <s v="Y"/>
    <n v="116.99"/>
    <n v="37"/>
    <s v="M"/>
    <x v="1"/>
    <x v="0"/>
    <n v="116.99"/>
    <x v="0"/>
    <s v="OK"/>
    <x v="1"/>
    <n v="7"/>
    <x v="1"/>
  </r>
  <r>
    <s v="CUST0488"/>
    <x v="1"/>
    <n v="6"/>
    <n v="7"/>
    <s v="YES"/>
    <n v="92.22"/>
    <n v="34"/>
    <s v="NAN"/>
    <x v="1"/>
    <x v="2"/>
    <n v="92.22"/>
    <x v="0"/>
    <s v="OK"/>
    <x v="1"/>
    <n v="10"/>
    <x v="1"/>
  </r>
  <r>
    <s v="CUST0136"/>
    <x v="0"/>
    <n v="8"/>
    <n v="6"/>
    <s v="Y"/>
    <n v="204.04"/>
    <n v="43"/>
    <s v="NAN"/>
    <x v="1"/>
    <x v="2"/>
    <n v="204.04"/>
    <x v="0"/>
    <s v="OK"/>
    <x v="1"/>
    <n v="5"/>
    <x v="0"/>
  </r>
  <r>
    <s v="CUST0910"/>
    <x v="4"/>
    <n v="7"/>
    <n v="6"/>
    <s v="N"/>
    <n v="71.87"/>
    <n v="21"/>
    <s v="F"/>
    <x v="0"/>
    <x v="1"/>
    <n v="71.87"/>
    <x v="0"/>
    <s v="OK"/>
    <x v="2"/>
    <n v="7"/>
    <x v="1"/>
  </r>
  <r>
    <s v="GUEST"/>
    <x v="1"/>
    <n v="5"/>
    <n v="5"/>
    <s v="N"/>
    <n v="67.13"/>
    <n v="41"/>
    <s v="OTHER"/>
    <x v="0"/>
    <x v="2"/>
    <n v="67.13"/>
    <x v="0"/>
    <s v="OK"/>
    <x v="1"/>
    <n v="10"/>
    <x v="1"/>
  </r>
  <r>
    <s v="CUST0755"/>
    <x v="4"/>
    <n v="6"/>
    <n v="5"/>
    <s v="N"/>
    <n v="59.66"/>
    <n v="18"/>
    <s v="MALE"/>
    <x v="0"/>
    <x v="0"/>
    <n v="59.66"/>
    <x v="0"/>
    <s v="OK"/>
    <x v="2"/>
    <n v="7"/>
    <x v="1"/>
  </r>
  <r>
    <s v="CUST0848"/>
    <x v="4"/>
    <n v="12"/>
    <n v="7"/>
    <s v="NO"/>
    <n v="84.85"/>
    <n v="49"/>
    <s v="NAN"/>
    <x v="0"/>
    <x v="2"/>
    <n v="84.85"/>
    <x v="0"/>
    <s v="OK"/>
    <x v="1"/>
    <n v="7"/>
    <x v="1"/>
  </r>
  <r>
    <s v="CUST0385"/>
    <x v="0"/>
    <n v="8"/>
    <n v="5"/>
    <s v="Y"/>
    <n v="110.96"/>
    <n v="34"/>
    <s v="NAN"/>
    <x v="1"/>
    <x v="2"/>
    <n v="110.96"/>
    <x v="0"/>
    <s v="OK"/>
    <x v="1"/>
    <n v="5"/>
    <x v="1"/>
  </r>
  <r>
    <s v="CUST0287"/>
    <x v="0"/>
    <n v="6"/>
    <n v="4"/>
    <s v="Y"/>
    <n v="70.459999999999994"/>
    <n v="31"/>
    <s v=""/>
    <x v="1"/>
    <x v="2"/>
    <n v="70.459999999999994"/>
    <x v="0"/>
    <s v="OK"/>
    <x v="1"/>
    <n v="5"/>
    <x v="1"/>
  </r>
  <r>
    <s v="CUST0144"/>
    <x v="1"/>
    <n v="5"/>
    <n v="3"/>
    <s v="NAN"/>
    <n v="84.92"/>
    <n v="32"/>
    <s v="F"/>
    <x v="2"/>
    <x v="1"/>
    <n v="84.92"/>
    <x v="0"/>
    <s v="OK"/>
    <x v="1"/>
    <n v="10"/>
    <x v="1"/>
  </r>
  <r>
    <s v="CUST0076"/>
    <x v="4"/>
    <n v="7"/>
    <n v="3"/>
    <s v="YES"/>
    <n v="36.03"/>
    <n v="17"/>
    <s v="FEMALE"/>
    <x v="1"/>
    <x v="1"/>
    <n v="36.03"/>
    <x v="0"/>
    <s v="OK"/>
    <x v="2"/>
    <n v="7"/>
    <x v="1"/>
  </r>
  <r>
    <s v="CUST0856"/>
    <x v="0"/>
    <n v="7"/>
    <n v="6"/>
    <s v="NO"/>
    <n v="147.13"/>
    <n v="58"/>
    <s v="NAN"/>
    <x v="0"/>
    <x v="2"/>
    <n v="147.13"/>
    <x v="0"/>
    <s v="OK"/>
    <x v="1"/>
    <n v="5"/>
    <x v="0"/>
  </r>
  <r>
    <s v="GUEST"/>
    <x v="1"/>
    <n v="11"/>
    <n v="6"/>
    <s v="NAN"/>
    <n v="116.91"/>
    <n v="39"/>
    <s v="MALE"/>
    <x v="2"/>
    <x v="0"/>
    <n v="116.91"/>
    <x v="0"/>
    <s v="OK"/>
    <x v="1"/>
    <n v="10"/>
    <x v="1"/>
  </r>
  <r>
    <s v="CUST0185"/>
    <x v="0"/>
    <n v="7"/>
    <n v="7"/>
    <s v="N"/>
    <n v="108.99"/>
    <n v="19"/>
    <s v="NAN"/>
    <x v="0"/>
    <x v="2"/>
    <n v="108.99"/>
    <x v="0"/>
    <s v="OK"/>
    <x v="2"/>
    <n v="5"/>
    <x v="0"/>
  </r>
  <r>
    <s v="CUST0503"/>
    <x v="0"/>
    <n v="8"/>
    <n v="4"/>
    <s v="YES"/>
    <n v="37.47"/>
    <n v="63"/>
    <s v="OTHER"/>
    <x v="1"/>
    <x v="2"/>
    <n v="37.47"/>
    <x v="0"/>
    <s v="OK"/>
    <x v="3"/>
    <n v="5"/>
    <x v="1"/>
  </r>
  <r>
    <s v="CUST0234"/>
    <x v="1"/>
    <n v="7"/>
    <n v="7"/>
    <s v="N"/>
    <n v="11.77"/>
    <n v="57"/>
    <s v="F"/>
    <x v="0"/>
    <x v="1"/>
    <n v="11.77"/>
    <x v="0"/>
    <s v="OK"/>
    <x v="1"/>
    <n v="10"/>
    <x v="1"/>
  </r>
  <r>
    <s v="CUST0828"/>
    <x v="4"/>
    <n v="9"/>
    <n v="4"/>
    <s v=""/>
    <n v="214.74"/>
    <n v="46"/>
    <s v="PREFER NOT TO SAY"/>
    <x v="2"/>
    <x v="2"/>
    <n v="214.74"/>
    <x v="0"/>
    <s v="OK"/>
    <x v="1"/>
    <n v="7"/>
    <x v="1"/>
  </r>
  <r>
    <s v="CUST0092"/>
    <x v="1"/>
    <n v="8"/>
    <n v="6"/>
    <s v="NAN"/>
    <n v="140.80000000000001"/>
    <n v="34"/>
    <s v="F"/>
    <x v="2"/>
    <x v="1"/>
    <n v="140.80000000000001"/>
    <x v="0"/>
    <s v="OK"/>
    <x v="1"/>
    <n v="10"/>
    <x v="1"/>
  </r>
  <r>
    <s v="CUST0320"/>
    <x v="4"/>
    <n v="8"/>
    <n v="5"/>
    <s v="NAN"/>
    <n v="28.59"/>
    <n v="28"/>
    <s v=""/>
    <x v="2"/>
    <x v="2"/>
    <n v="28.59"/>
    <x v="0"/>
    <s v="OK"/>
    <x v="2"/>
    <n v="7"/>
    <x v="1"/>
  </r>
  <r>
    <s v="CUST0944"/>
    <x v="0"/>
    <n v="8"/>
    <n v="7"/>
    <s v="NAN"/>
    <n v="55.46"/>
    <m/>
    <s v="FEMALE"/>
    <x v="2"/>
    <x v="1"/>
    <n v="55.46"/>
    <x v="0"/>
    <s v="OK"/>
    <x v="0"/>
    <n v="5"/>
    <x v="0"/>
  </r>
  <r>
    <s v="CUST0091"/>
    <x v="1"/>
    <n v="8"/>
    <n v="5"/>
    <s v="NO"/>
    <n v="141.24"/>
    <n v="52"/>
    <s v="F"/>
    <x v="0"/>
    <x v="1"/>
    <n v="141.24"/>
    <x v="0"/>
    <s v="OK"/>
    <x v="1"/>
    <n v="10"/>
    <x v="1"/>
  </r>
  <r>
    <s v="CUST0695"/>
    <x v="4"/>
    <n v="6"/>
    <n v="5"/>
    <s v="YES"/>
    <n v="190.48"/>
    <n v="33"/>
    <s v="M"/>
    <x v="1"/>
    <x v="0"/>
    <n v="190.48"/>
    <x v="0"/>
    <s v="OK"/>
    <x v="1"/>
    <n v="7"/>
    <x v="1"/>
  </r>
  <r>
    <s v="CUST0097"/>
    <x v="4"/>
    <n v="4"/>
    <n v="8"/>
    <s v="YES"/>
    <n v="131.77000000000001"/>
    <n v="30"/>
    <s v="M"/>
    <x v="1"/>
    <x v="0"/>
    <n v="131.77000000000001"/>
    <x v="0"/>
    <s v="OK"/>
    <x v="1"/>
    <n v="7"/>
    <x v="0"/>
  </r>
  <r>
    <s v="GUEST"/>
    <x v="1"/>
    <m/>
    <n v="6"/>
    <s v=""/>
    <n v="44.09"/>
    <n v="26"/>
    <s v="F"/>
    <x v="2"/>
    <x v="1"/>
    <n v="44.09"/>
    <x v="1"/>
    <s v="OK"/>
    <x v="2"/>
    <n v="10"/>
    <x v="1"/>
  </r>
  <r>
    <s v="CUST0362"/>
    <x v="0"/>
    <n v="5"/>
    <m/>
    <s v="YES"/>
    <n v="61.71"/>
    <n v="37"/>
    <s v="PREFER NOT TO SAY"/>
    <x v="1"/>
    <x v="2"/>
    <n v="61.71"/>
    <x v="0"/>
    <s v="MISSING DELIVERY STATUS"/>
    <x v="1"/>
    <n v="5"/>
    <x v="2"/>
  </r>
  <r>
    <s v="CUST0686"/>
    <x v="4"/>
    <m/>
    <n v="7"/>
    <s v="Y"/>
    <n v="121.69"/>
    <n v="15"/>
    <s v="OTHER"/>
    <x v="1"/>
    <x v="2"/>
    <n v="121.69"/>
    <x v="1"/>
    <s v="OK"/>
    <x v="2"/>
    <n v="7"/>
    <x v="1"/>
  </r>
  <r>
    <s v="CUST0520"/>
    <x v="3"/>
    <n v="7"/>
    <m/>
    <s v="NO"/>
    <n v="174.52"/>
    <n v="34"/>
    <s v="PREFER NOT TO SAY"/>
    <x v="0"/>
    <x v="2"/>
    <n v="174.52"/>
    <x v="0"/>
    <s v="MISSING DELIVERY STATUS"/>
    <x v="1"/>
    <s v="NA"/>
    <x v="2"/>
  </r>
  <r>
    <s v="CUST0705"/>
    <x v="0"/>
    <n v="7"/>
    <n v="6"/>
    <s v="NAN"/>
    <n v="55.44"/>
    <n v="45"/>
    <s v="F"/>
    <x v="2"/>
    <x v="1"/>
    <n v="55.44"/>
    <x v="0"/>
    <s v="OK"/>
    <x v="1"/>
    <n v="5"/>
    <x v="0"/>
  </r>
  <r>
    <s v="CUST0322"/>
    <x v="0"/>
    <n v="11"/>
    <n v="9"/>
    <s v="NO"/>
    <n v="42.7"/>
    <n v="32"/>
    <s v="MALE"/>
    <x v="0"/>
    <x v="0"/>
    <n v="42.7"/>
    <x v="0"/>
    <s v="OK"/>
    <x v="1"/>
    <n v="5"/>
    <x v="0"/>
  </r>
  <r>
    <s v="CUST0408"/>
    <x v="1"/>
    <n v="4"/>
    <n v="6"/>
    <s v="YES"/>
    <n v="43.12"/>
    <n v="43"/>
    <s v="M"/>
    <x v="1"/>
    <x v="0"/>
    <n v="43.12"/>
    <x v="0"/>
    <s v="OK"/>
    <x v="1"/>
    <n v="10"/>
    <x v="1"/>
  </r>
  <r>
    <s v="CUST0108"/>
    <x v="1"/>
    <n v="5"/>
    <n v="5"/>
    <s v="NO"/>
    <n v="5.76"/>
    <n v="48"/>
    <s v="FEMALE"/>
    <x v="0"/>
    <x v="1"/>
    <n v="5.76"/>
    <x v="0"/>
    <s v="OK"/>
    <x v="1"/>
    <n v="10"/>
    <x v="1"/>
  </r>
  <r>
    <s v="CUST0081"/>
    <x v="2"/>
    <n v="8"/>
    <n v="8"/>
    <s v="N"/>
    <n v="76.58"/>
    <n v="58"/>
    <s v="NAN"/>
    <x v="0"/>
    <x v="2"/>
    <n v="76.58"/>
    <x v="0"/>
    <s v="OK"/>
    <x v="1"/>
    <n v="7"/>
    <x v="0"/>
  </r>
  <r>
    <s v="CUST0413"/>
    <x v="4"/>
    <n v="7"/>
    <n v="7"/>
    <s v="Y"/>
    <n v="1.5"/>
    <n v="64"/>
    <s v="NAN"/>
    <x v="1"/>
    <x v="2"/>
    <n v="1.5"/>
    <x v="0"/>
    <s v="OK"/>
    <x v="3"/>
    <n v="7"/>
    <x v="1"/>
  </r>
  <r>
    <s v="CUST0182"/>
    <x v="2"/>
    <n v="5"/>
    <n v="6"/>
    <s v="YES"/>
    <n v="64.67"/>
    <n v="30"/>
    <s v="M"/>
    <x v="1"/>
    <x v="0"/>
    <n v="64.67"/>
    <x v="0"/>
    <s v="OK"/>
    <x v="1"/>
    <n v="7"/>
    <x v="1"/>
  </r>
  <r>
    <s v="CUST0040"/>
    <x v="2"/>
    <n v="10"/>
    <n v="1"/>
    <s v=""/>
    <n v="89.07"/>
    <n v="41"/>
    <s v="OTHER"/>
    <x v="2"/>
    <x v="2"/>
    <n v="89.07"/>
    <x v="0"/>
    <s v="OK"/>
    <x v="1"/>
    <n v="7"/>
    <x v="1"/>
  </r>
  <r>
    <s v="CUST0483"/>
    <x v="0"/>
    <n v="8"/>
    <n v="3"/>
    <s v="NO"/>
    <n v="129.94"/>
    <n v="38"/>
    <s v="MALE"/>
    <x v="0"/>
    <x v="0"/>
    <n v="129.94"/>
    <x v="0"/>
    <s v="OK"/>
    <x v="1"/>
    <n v="5"/>
    <x v="1"/>
  </r>
  <r>
    <s v="GUEST"/>
    <x v="0"/>
    <n v="9"/>
    <n v="6"/>
    <s v="NAN"/>
    <n v="99.2"/>
    <n v="36"/>
    <s v="NAN"/>
    <x v="2"/>
    <x v="2"/>
    <n v="99.2"/>
    <x v="0"/>
    <s v="OK"/>
    <x v="1"/>
    <n v="5"/>
    <x v="0"/>
  </r>
  <r>
    <s v="CUST0539"/>
    <x v="0"/>
    <n v="9"/>
    <n v="9"/>
    <s v="NO"/>
    <n v="61.46"/>
    <n v="46"/>
    <s v="FEMALE"/>
    <x v="0"/>
    <x v="1"/>
    <n v="61.46"/>
    <x v="0"/>
    <s v="OK"/>
    <x v="1"/>
    <n v="5"/>
    <x v="0"/>
  </r>
  <r>
    <s v="CUST0790"/>
    <x v="2"/>
    <n v="6"/>
    <n v="9"/>
    <s v="NO"/>
    <n v="70.650000000000006"/>
    <n v="55"/>
    <s v="MALE"/>
    <x v="0"/>
    <x v="0"/>
    <n v="70.650000000000006"/>
    <x v="0"/>
    <s v="OK"/>
    <x v="1"/>
    <n v="7"/>
    <x v="0"/>
  </r>
  <r>
    <s v="CUST0742"/>
    <x v="4"/>
    <n v="5"/>
    <n v="7"/>
    <s v="YES"/>
    <n v="109.95"/>
    <m/>
    <s v="NAN"/>
    <x v="1"/>
    <x v="2"/>
    <n v="109.95"/>
    <x v="0"/>
    <s v="OK"/>
    <x v="0"/>
    <n v="7"/>
    <x v="1"/>
  </r>
  <r>
    <s v="CUST0627"/>
    <x v="3"/>
    <n v="11"/>
    <n v="3"/>
    <s v="N"/>
    <n v="60.53"/>
    <n v="27"/>
    <s v="NAN"/>
    <x v="0"/>
    <x v="2"/>
    <n v="60.53"/>
    <x v="0"/>
    <s v="OK"/>
    <x v="2"/>
    <s v="NA"/>
    <x v="2"/>
  </r>
  <r>
    <s v="CUST0898"/>
    <x v="1"/>
    <n v="9"/>
    <n v="3"/>
    <s v="YES"/>
    <n v="154.66"/>
    <n v="23"/>
    <s v="MALE"/>
    <x v="1"/>
    <x v="0"/>
    <n v="154.66"/>
    <x v="0"/>
    <s v="OK"/>
    <x v="2"/>
    <n v="10"/>
    <x v="1"/>
  </r>
  <r>
    <s v="CUST0431"/>
    <x v="0"/>
    <n v="8"/>
    <n v="1"/>
    <s v="NAN"/>
    <n v="30.55"/>
    <n v="39"/>
    <s v="FEMALE"/>
    <x v="2"/>
    <x v="1"/>
    <n v="30.55"/>
    <x v="0"/>
    <s v="OK"/>
    <x v="1"/>
    <n v="5"/>
    <x v="1"/>
  </r>
  <r>
    <s v="CUST0373"/>
    <x v="4"/>
    <n v="5"/>
    <n v="8"/>
    <s v="Y"/>
    <n v="89.55"/>
    <n v="73"/>
    <s v="F"/>
    <x v="1"/>
    <x v="1"/>
    <n v="89.55"/>
    <x v="0"/>
    <s v="OK"/>
    <x v="3"/>
    <n v="7"/>
    <x v="0"/>
  </r>
  <r>
    <s v="CUST0949"/>
    <x v="4"/>
    <n v="7"/>
    <n v="7"/>
    <s v="N"/>
    <n v="124.41"/>
    <n v="24"/>
    <s v="F"/>
    <x v="0"/>
    <x v="1"/>
    <n v="124.41"/>
    <x v="0"/>
    <s v="OK"/>
    <x v="2"/>
    <n v="7"/>
    <x v="1"/>
  </r>
  <r>
    <s v="CUST0904"/>
    <x v="2"/>
    <n v="3"/>
    <n v="8"/>
    <s v="YES"/>
    <n v="17521"/>
    <n v="23"/>
    <s v="F"/>
    <x v="1"/>
    <x v="1"/>
    <n v="17521"/>
    <x v="0"/>
    <s v="OK"/>
    <x v="2"/>
    <n v="7"/>
    <x v="0"/>
  </r>
  <r>
    <s v="GUEST"/>
    <x v="1"/>
    <n v="7"/>
    <n v="4"/>
    <s v="N"/>
    <n v="77.31"/>
    <n v="65"/>
    <s v="OTHER"/>
    <x v="0"/>
    <x v="2"/>
    <n v="77.31"/>
    <x v="0"/>
    <s v="OK"/>
    <x v="3"/>
    <n v="10"/>
    <x v="1"/>
  </r>
  <r>
    <s v="CUST0836"/>
    <x v="1"/>
    <n v="8"/>
    <n v="4"/>
    <s v="YES"/>
    <n v="170.34"/>
    <n v="24"/>
    <s v="FEMALE"/>
    <x v="1"/>
    <x v="1"/>
    <n v="170.34"/>
    <x v="0"/>
    <s v="OK"/>
    <x v="2"/>
    <n v="10"/>
    <x v="1"/>
  </r>
  <r>
    <s v="CUST0280"/>
    <x v="4"/>
    <n v="7"/>
    <n v="5"/>
    <s v="YES"/>
    <n v="146.72"/>
    <n v="25"/>
    <s v="FEMALE"/>
    <x v="1"/>
    <x v="1"/>
    <n v="146.72"/>
    <x v="0"/>
    <s v="OK"/>
    <x v="2"/>
    <n v="7"/>
    <x v="1"/>
  </r>
  <r>
    <s v="CUST0610"/>
    <x v="1"/>
    <n v="6"/>
    <n v="7"/>
    <s v="N"/>
    <n v="100.47"/>
    <n v="23"/>
    <s v="MALE"/>
    <x v="0"/>
    <x v="0"/>
    <n v="100.47"/>
    <x v="0"/>
    <s v="OK"/>
    <x v="2"/>
    <n v="10"/>
    <x v="1"/>
  </r>
  <r>
    <s v="CUST0348"/>
    <x v="1"/>
    <n v="4"/>
    <n v="4"/>
    <s v="YES"/>
    <n v="114.77"/>
    <n v="44"/>
    <s v="PREFER NOT TO SAY"/>
    <x v="1"/>
    <x v="2"/>
    <n v="114.77"/>
    <x v="0"/>
    <s v="OK"/>
    <x v="1"/>
    <n v="10"/>
    <x v="1"/>
  </r>
  <r>
    <s v="CUST0333"/>
    <x v="1"/>
    <n v="6"/>
    <n v="6"/>
    <s v="N"/>
    <n v="130.26"/>
    <n v="33"/>
    <s v="PREFER NOT TO SAY"/>
    <x v="0"/>
    <x v="2"/>
    <n v="130.26"/>
    <x v="0"/>
    <s v="OK"/>
    <x v="1"/>
    <n v="10"/>
    <x v="1"/>
  </r>
  <r>
    <s v="CUST0402"/>
    <x v="1"/>
    <n v="8"/>
    <n v="3"/>
    <s v="YES"/>
    <n v="107.62"/>
    <n v="44"/>
    <s v="FEMALE"/>
    <x v="1"/>
    <x v="1"/>
    <n v="107.62"/>
    <x v="0"/>
    <s v="OK"/>
    <x v="1"/>
    <n v="10"/>
    <x v="1"/>
  </r>
  <r>
    <s v="CUST0950"/>
    <x v="3"/>
    <n v="6"/>
    <n v="6"/>
    <s v="Y"/>
    <n v="56.6"/>
    <n v="4"/>
    <s v="FEMALE"/>
    <x v="1"/>
    <x v="1"/>
    <n v="56.6"/>
    <x v="0"/>
    <s v="OK"/>
    <x v="4"/>
    <s v="NA"/>
    <x v="2"/>
  </r>
  <r>
    <s v="CUST0315"/>
    <x v="2"/>
    <m/>
    <n v="6"/>
    <s v="NO"/>
    <n v="126.17"/>
    <n v="29"/>
    <s v="M"/>
    <x v="0"/>
    <x v="0"/>
    <n v="126.17"/>
    <x v="1"/>
    <s v="OK"/>
    <x v="2"/>
    <n v="7"/>
    <x v="1"/>
  </r>
  <r>
    <s v="CUST0696"/>
    <x v="1"/>
    <n v="6"/>
    <n v="6"/>
    <s v="NO"/>
    <n v="26.29"/>
    <n v="31"/>
    <s v="PREFER NOT TO SAY"/>
    <x v="0"/>
    <x v="2"/>
    <n v="26.29"/>
    <x v="0"/>
    <s v="OK"/>
    <x v="1"/>
    <n v="10"/>
    <x v="1"/>
  </r>
  <r>
    <s v="CUST0195"/>
    <x v="2"/>
    <m/>
    <n v="5"/>
    <s v="YES"/>
    <n v="76.739999999999995"/>
    <n v="49"/>
    <s v="M"/>
    <x v="1"/>
    <x v="0"/>
    <n v="76.739999999999995"/>
    <x v="1"/>
    <s v="OK"/>
    <x v="1"/>
    <n v="7"/>
    <x v="1"/>
  </r>
  <r>
    <s v="CUST0713"/>
    <x v="3"/>
    <n v="9"/>
    <n v="2"/>
    <s v="N"/>
    <n v="146.81"/>
    <n v="38"/>
    <s v="M"/>
    <x v="0"/>
    <x v="0"/>
    <n v="146.81"/>
    <x v="0"/>
    <s v="OK"/>
    <x v="1"/>
    <s v="NA"/>
    <x v="2"/>
  </r>
  <r>
    <s v="CUST0326"/>
    <x v="4"/>
    <n v="7"/>
    <n v="5"/>
    <s v="NO"/>
    <n v="159.12"/>
    <n v="50"/>
    <s v="F"/>
    <x v="0"/>
    <x v="1"/>
    <n v="159.12"/>
    <x v="0"/>
    <s v="OK"/>
    <x v="1"/>
    <n v="7"/>
    <x v="1"/>
  </r>
  <r>
    <s v="CUST0403"/>
    <x v="2"/>
    <n v="7"/>
    <n v="6"/>
    <s v="YES"/>
    <n v="159.11000000000001"/>
    <n v="24"/>
    <s v="M"/>
    <x v="1"/>
    <x v="0"/>
    <n v="159.11000000000001"/>
    <x v="0"/>
    <s v="OK"/>
    <x v="2"/>
    <n v="7"/>
    <x v="1"/>
  </r>
  <r>
    <s v="GUEST"/>
    <x v="0"/>
    <n v="6"/>
    <n v="8"/>
    <s v="NO"/>
    <n v="84.16"/>
    <n v="39"/>
    <s v="FEMALE"/>
    <x v="0"/>
    <x v="1"/>
    <n v="84.16"/>
    <x v="0"/>
    <s v="OK"/>
    <x v="1"/>
    <n v="5"/>
    <x v="0"/>
  </r>
  <r>
    <s v="CUST0023"/>
    <x v="4"/>
    <n v="7"/>
    <n v="4"/>
    <s v=""/>
    <n v="97.76"/>
    <n v="41"/>
    <s v="PREFER NOT TO SAY"/>
    <x v="2"/>
    <x v="2"/>
    <n v="97.76"/>
    <x v="0"/>
    <s v="OK"/>
    <x v="1"/>
    <n v="7"/>
    <x v="1"/>
  </r>
  <r>
    <s v="CUST0122"/>
    <x v="0"/>
    <n v="5"/>
    <n v="7"/>
    <s v="Y"/>
    <n v="162.57"/>
    <n v="13"/>
    <s v="NAN"/>
    <x v="1"/>
    <x v="2"/>
    <n v="162.57"/>
    <x v="0"/>
    <s v="OK"/>
    <x v="4"/>
    <n v="5"/>
    <x v="0"/>
  </r>
  <r>
    <s v="CUST0237"/>
    <x v="4"/>
    <m/>
    <n v="7"/>
    <s v="YES"/>
    <n v="175.38"/>
    <n v="34"/>
    <s v="M"/>
    <x v="1"/>
    <x v="0"/>
    <n v="175.38"/>
    <x v="1"/>
    <s v="OK"/>
    <x v="1"/>
    <n v="7"/>
    <x v="1"/>
  </r>
  <r>
    <s v="CUST0099"/>
    <x v="4"/>
    <n v="5"/>
    <n v="5"/>
    <s v="NO"/>
    <n v="14.63"/>
    <n v="17"/>
    <s v="FEMALE"/>
    <x v="0"/>
    <x v="1"/>
    <n v="14.63"/>
    <x v="0"/>
    <s v="OK"/>
    <x v="2"/>
    <n v="7"/>
    <x v="1"/>
  </r>
  <r>
    <s v="CUST0442"/>
    <x v="1"/>
    <n v="6"/>
    <n v="8"/>
    <s v="Y"/>
    <n v="18.37"/>
    <n v="18"/>
    <s v="PREFER NOT TO SAY"/>
    <x v="1"/>
    <x v="2"/>
    <n v="18.37"/>
    <x v="0"/>
    <s v="OK"/>
    <x v="2"/>
    <n v="10"/>
    <x v="1"/>
  </r>
  <r>
    <s v="CUST0694"/>
    <x v="1"/>
    <n v="9"/>
    <n v="4"/>
    <s v="YES"/>
    <n v="6940.0000000000009"/>
    <n v="48"/>
    <s v="MALE"/>
    <x v="1"/>
    <x v="0"/>
    <n v="6940.0000000000009"/>
    <x v="0"/>
    <s v="OK"/>
    <x v="1"/>
    <n v="10"/>
    <x v="1"/>
  </r>
  <r>
    <s v="CUST0437"/>
    <x v="1"/>
    <n v="12"/>
    <n v="5"/>
    <s v="YES"/>
    <n v="153.44999999999999"/>
    <n v="33"/>
    <s v="F"/>
    <x v="1"/>
    <x v="1"/>
    <n v="153.44999999999999"/>
    <x v="0"/>
    <s v="OK"/>
    <x v="1"/>
    <n v="10"/>
    <x v="1"/>
  </r>
  <r>
    <s v="CUST0284"/>
    <x v="2"/>
    <n v="9"/>
    <n v="6"/>
    <s v="YES"/>
    <n v="103.5"/>
    <n v="25"/>
    <s v="MALE"/>
    <x v="1"/>
    <x v="0"/>
    <n v="103.5"/>
    <x v="0"/>
    <s v="OK"/>
    <x v="2"/>
    <n v="7"/>
    <x v="1"/>
  </r>
  <r>
    <s v="CUST0934"/>
    <x v="0"/>
    <n v="7"/>
    <n v="3"/>
    <s v="NAN"/>
    <n v="115.98"/>
    <n v="4"/>
    <s v="M"/>
    <x v="2"/>
    <x v="0"/>
    <n v="115.98"/>
    <x v="0"/>
    <s v="OK"/>
    <x v="4"/>
    <n v="5"/>
    <x v="1"/>
  </r>
  <r>
    <s v="CUST0510"/>
    <x v="4"/>
    <n v="8"/>
    <n v="4"/>
    <s v="NO"/>
    <n v="14800"/>
    <n v="23"/>
    <s v="PREFER NOT TO SAY"/>
    <x v="0"/>
    <x v="2"/>
    <n v="14800"/>
    <x v="0"/>
    <s v="OK"/>
    <x v="2"/>
    <n v="7"/>
    <x v="1"/>
  </r>
  <r>
    <s v="CUST0762"/>
    <x v="4"/>
    <n v="4"/>
    <n v="3"/>
    <s v="YES"/>
    <n v="152.72"/>
    <m/>
    <s v="FEMALE"/>
    <x v="1"/>
    <x v="1"/>
    <n v="152.72"/>
    <x v="0"/>
    <s v="OK"/>
    <x v="0"/>
    <n v="7"/>
    <x v="1"/>
  </r>
  <r>
    <s v="CUST0797"/>
    <x v="0"/>
    <n v="9"/>
    <n v="5"/>
    <s v="N"/>
    <n v="43.28"/>
    <n v="31"/>
    <s v="MALE"/>
    <x v="0"/>
    <x v="0"/>
    <n v="43.28"/>
    <x v="0"/>
    <s v="OK"/>
    <x v="1"/>
    <n v="5"/>
    <x v="1"/>
  </r>
  <r>
    <s v="GUEST"/>
    <x v="0"/>
    <n v="8"/>
    <m/>
    <s v="NAN"/>
    <n v="81.8"/>
    <n v="26"/>
    <s v="MALE"/>
    <x v="2"/>
    <x v="0"/>
    <n v="81.8"/>
    <x v="0"/>
    <s v="MISSING DELIVERY STATUS"/>
    <x v="2"/>
    <n v="5"/>
    <x v="2"/>
  </r>
  <r>
    <s v="CUST0183"/>
    <x v="4"/>
    <n v="3"/>
    <n v="2"/>
    <s v="YES"/>
    <n v="113.33"/>
    <n v="39"/>
    <s v="NAN"/>
    <x v="1"/>
    <x v="2"/>
    <n v="113.33"/>
    <x v="0"/>
    <s v="OK"/>
    <x v="1"/>
    <n v="7"/>
    <x v="1"/>
  </r>
  <r>
    <s v="CUST0635"/>
    <x v="4"/>
    <n v="8"/>
    <n v="5"/>
    <s v="YES"/>
    <n v="54.2"/>
    <n v="16"/>
    <s v="PREFER NOT TO SAY"/>
    <x v="1"/>
    <x v="2"/>
    <n v="54.2"/>
    <x v="0"/>
    <s v="OK"/>
    <x v="2"/>
    <n v="7"/>
    <x v="1"/>
  </r>
  <r>
    <s v="CUST0164"/>
    <x v="1"/>
    <n v="6"/>
    <n v="7"/>
    <s v="N"/>
    <n v="34.93"/>
    <n v="26"/>
    <s v="OTHER"/>
    <x v="0"/>
    <x v="2"/>
    <n v="34.93"/>
    <x v="0"/>
    <s v="OK"/>
    <x v="2"/>
    <n v="10"/>
    <x v="1"/>
  </r>
  <r>
    <s v="CUST0206"/>
    <x v="0"/>
    <n v="6"/>
    <n v="-1"/>
    <s v="NO"/>
    <n v="85.39"/>
    <n v="27"/>
    <s v="FEMALE"/>
    <x v="0"/>
    <x v="1"/>
    <n v="85.39"/>
    <x v="0"/>
    <s v="NEGATIVE DAYS"/>
    <x v="2"/>
    <n v="5"/>
    <x v="1"/>
  </r>
  <r>
    <s v="CUST0875"/>
    <x v="4"/>
    <n v="8"/>
    <n v="6"/>
    <s v="NAN"/>
    <n v="144.83000000000001"/>
    <n v="36"/>
    <s v="FEMALE"/>
    <x v="2"/>
    <x v="1"/>
    <n v="144.83000000000001"/>
    <x v="0"/>
    <s v="OK"/>
    <x v="1"/>
    <n v="7"/>
    <x v="1"/>
  </r>
  <r>
    <s v="CUST0138"/>
    <x v="0"/>
    <n v="8"/>
    <n v="3"/>
    <s v="YES"/>
    <n v="129.11000000000001"/>
    <n v="23"/>
    <s v="OTHER"/>
    <x v="1"/>
    <x v="2"/>
    <n v="129.11000000000001"/>
    <x v="0"/>
    <s v="OK"/>
    <x v="2"/>
    <n v="5"/>
    <x v="1"/>
  </r>
  <r>
    <s v="CUST0039"/>
    <x v="0"/>
    <n v="8"/>
    <n v="3"/>
    <s v="YES"/>
    <n v="159.97999999999999"/>
    <n v="58"/>
    <s v="OTHER"/>
    <x v="1"/>
    <x v="2"/>
    <n v="159.97999999999999"/>
    <x v="0"/>
    <s v="OK"/>
    <x v="1"/>
    <n v="5"/>
    <x v="1"/>
  </r>
  <r>
    <s v="CUST0063"/>
    <x v="0"/>
    <n v="6"/>
    <m/>
    <s v="NO"/>
    <n v="125.27"/>
    <n v="25"/>
    <s v="MALE"/>
    <x v="0"/>
    <x v="0"/>
    <n v="125.27"/>
    <x v="0"/>
    <s v="MISSING DELIVERY STATUS"/>
    <x v="2"/>
    <n v="5"/>
    <x v="2"/>
  </r>
  <r>
    <s v="CUST0938"/>
    <x v="0"/>
    <n v="8"/>
    <n v="8"/>
    <s v="YES"/>
    <n v="104.25"/>
    <n v="57"/>
    <s v=""/>
    <x v="1"/>
    <x v="2"/>
    <n v="104.25"/>
    <x v="0"/>
    <s v="OK"/>
    <x v="1"/>
    <n v="5"/>
    <x v="0"/>
  </r>
  <r>
    <s v="CUST0613"/>
    <x v="1"/>
    <n v="6"/>
    <n v="5"/>
    <s v="YES"/>
    <n v="150.66999999999999"/>
    <n v="63"/>
    <s v="M"/>
    <x v="1"/>
    <x v="0"/>
    <n v="150.66999999999999"/>
    <x v="0"/>
    <s v="OK"/>
    <x v="3"/>
    <n v="10"/>
    <x v="1"/>
  </r>
  <r>
    <s v="CUST0956"/>
    <x v="2"/>
    <n v="7"/>
    <n v="6"/>
    <s v="YES"/>
    <n v="165.03"/>
    <n v="31"/>
    <s v="FEMALE"/>
    <x v="1"/>
    <x v="1"/>
    <n v="165.03"/>
    <x v="0"/>
    <s v="OK"/>
    <x v="1"/>
    <n v="7"/>
    <x v="1"/>
  </r>
  <r>
    <s v="CUST0123"/>
    <x v="4"/>
    <n v="7"/>
    <n v="5"/>
    <s v="YES"/>
    <n v="195.47"/>
    <n v="36"/>
    <s v="NAN"/>
    <x v="1"/>
    <x v="2"/>
    <n v="195.47"/>
    <x v="0"/>
    <s v="OK"/>
    <x v="1"/>
    <n v="7"/>
    <x v="1"/>
  </r>
  <r>
    <s v="CUST0623"/>
    <x v="2"/>
    <n v="9"/>
    <n v="6"/>
    <s v="NAN"/>
    <n v="115.96"/>
    <n v="36"/>
    <s v="NAN"/>
    <x v="2"/>
    <x v="2"/>
    <n v="115.96"/>
    <x v="0"/>
    <s v="OK"/>
    <x v="1"/>
    <n v="7"/>
    <x v="1"/>
  </r>
  <r>
    <s v="CUST0946"/>
    <x v="2"/>
    <n v="9"/>
    <n v="5"/>
    <s v=""/>
    <n v="26.86"/>
    <n v="33"/>
    <s v="OTHER"/>
    <x v="2"/>
    <x v="2"/>
    <n v="26.86"/>
    <x v="0"/>
    <s v="OK"/>
    <x v="1"/>
    <n v="7"/>
    <x v="1"/>
  </r>
  <r>
    <s v="CUST0355"/>
    <x v="1"/>
    <n v="3"/>
    <n v="5"/>
    <s v="YES"/>
    <n v="145.08000000000001"/>
    <n v="9"/>
    <s v=""/>
    <x v="1"/>
    <x v="2"/>
    <n v="145.08000000000001"/>
    <x v="0"/>
    <s v="OK"/>
    <x v="4"/>
    <n v="10"/>
    <x v="1"/>
  </r>
  <r>
    <s v="CUST0139"/>
    <x v="2"/>
    <n v="5"/>
    <n v="4"/>
    <s v="Y"/>
    <n v="96.7"/>
    <n v="24"/>
    <s v="FEMALE"/>
    <x v="1"/>
    <x v="1"/>
    <n v="96.7"/>
    <x v="0"/>
    <s v="OK"/>
    <x v="2"/>
    <n v="7"/>
    <x v="1"/>
  </r>
  <r>
    <s v="CUST0892"/>
    <x v="2"/>
    <n v="8"/>
    <n v="3"/>
    <s v="N"/>
    <n v="25.52"/>
    <n v="37"/>
    <s v=""/>
    <x v="0"/>
    <x v="2"/>
    <n v="25.52"/>
    <x v="0"/>
    <s v="OK"/>
    <x v="1"/>
    <n v="7"/>
    <x v="1"/>
  </r>
  <r>
    <s v="CUST0409"/>
    <x v="1"/>
    <n v="5"/>
    <m/>
    <s v="Y"/>
    <n v="160.63"/>
    <n v="24"/>
    <s v="MALE"/>
    <x v="1"/>
    <x v="0"/>
    <n v="160.63"/>
    <x v="0"/>
    <s v="MISSING DELIVERY STATUS"/>
    <x v="2"/>
    <n v="10"/>
    <x v="2"/>
  </r>
  <r>
    <s v="CUST0685"/>
    <x v="0"/>
    <n v="7"/>
    <n v="7"/>
    <s v="NO"/>
    <n v="18.93"/>
    <n v="58"/>
    <s v="OTHER"/>
    <x v="0"/>
    <x v="2"/>
    <n v="18.93"/>
    <x v="0"/>
    <s v="OK"/>
    <x v="1"/>
    <n v="5"/>
    <x v="0"/>
  </r>
  <r>
    <s v="CUST0041"/>
    <x v="3"/>
    <n v="5"/>
    <n v="9"/>
    <s v="N"/>
    <n v="22.34"/>
    <n v="27"/>
    <s v="FEMALE"/>
    <x v="0"/>
    <x v="1"/>
    <n v="22.34"/>
    <x v="0"/>
    <s v="OK"/>
    <x v="2"/>
    <s v="NA"/>
    <x v="2"/>
  </r>
  <r>
    <s v="CUST0839"/>
    <x v="1"/>
    <n v="7"/>
    <m/>
    <s v="NAN"/>
    <n v="88.95"/>
    <n v="16"/>
    <s v="M"/>
    <x v="2"/>
    <x v="0"/>
    <n v="88.95"/>
    <x v="0"/>
    <s v="MISSING DELIVERY STATUS"/>
    <x v="2"/>
    <n v="10"/>
    <x v="2"/>
  </r>
  <r>
    <s v="GUEST"/>
    <x v="1"/>
    <n v="4"/>
    <n v="6"/>
    <s v="N"/>
    <n v="48.75"/>
    <n v="59"/>
    <s v="PREFER NOT TO SAY"/>
    <x v="0"/>
    <x v="2"/>
    <n v="48.75"/>
    <x v="0"/>
    <s v="OK"/>
    <x v="1"/>
    <n v="10"/>
    <x v="1"/>
  </r>
  <r>
    <s v="CUST0625"/>
    <x v="3"/>
    <n v="10"/>
    <n v="2"/>
    <s v="NAN"/>
    <n v="83.31"/>
    <n v="43"/>
    <s v="FEMALE"/>
    <x v="2"/>
    <x v="1"/>
    <n v="83.31"/>
    <x v="0"/>
    <s v="OK"/>
    <x v="1"/>
    <s v="NA"/>
    <x v="2"/>
  </r>
  <r>
    <s v="CUST0682"/>
    <x v="0"/>
    <n v="9"/>
    <n v="5"/>
    <s v="NO"/>
    <n v="11693"/>
    <n v="37"/>
    <s v="PREFER NOT TO SAY"/>
    <x v="0"/>
    <x v="2"/>
    <n v="11693"/>
    <x v="0"/>
    <s v="OK"/>
    <x v="1"/>
    <n v="5"/>
    <x v="1"/>
  </r>
  <r>
    <s v="CUST0294"/>
    <x v="4"/>
    <n v="10"/>
    <n v="4"/>
    <s v="N"/>
    <n v="61.25"/>
    <n v="42"/>
    <s v="MALE"/>
    <x v="0"/>
    <x v="0"/>
    <n v="61.25"/>
    <x v="0"/>
    <s v="OK"/>
    <x v="1"/>
    <n v="7"/>
    <x v="1"/>
  </r>
  <r>
    <s v="GUEST"/>
    <x v="0"/>
    <n v="6"/>
    <n v="5"/>
    <s v="NO"/>
    <n v="114.36"/>
    <n v="21"/>
    <s v="M"/>
    <x v="0"/>
    <x v="0"/>
    <n v="114.36"/>
    <x v="0"/>
    <s v="OK"/>
    <x v="2"/>
    <n v="5"/>
    <x v="1"/>
  </r>
  <r>
    <s v="CUST0061"/>
    <x v="2"/>
    <n v="8"/>
    <n v="4"/>
    <s v="YES"/>
    <n v="64.86"/>
    <n v="39"/>
    <s v="NAN"/>
    <x v="1"/>
    <x v="2"/>
    <n v="64.86"/>
    <x v="0"/>
    <s v="OK"/>
    <x v="1"/>
    <n v="7"/>
    <x v="1"/>
  </r>
  <r>
    <s v="CUST0386"/>
    <x v="1"/>
    <n v="6"/>
    <n v="8"/>
    <s v="Y"/>
    <n v="103.86"/>
    <n v="58"/>
    <s v="MALE"/>
    <x v="1"/>
    <x v="0"/>
    <n v="103.86"/>
    <x v="0"/>
    <s v="OK"/>
    <x v="1"/>
    <n v="10"/>
    <x v="1"/>
  </r>
  <r>
    <s v="CUST0142"/>
    <x v="0"/>
    <n v="7"/>
    <n v="8"/>
    <s v="NO"/>
    <n v="92.7"/>
    <n v="9"/>
    <s v="FEMALE"/>
    <x v="0"/>
    <x v="1"/>
    <n v="92.7"/>
    <x v="0"/>
    <s v="OK"/>
    <x v="4"/>
    <n v="5"/>
    <x v="0"/>
  </r>
  <r>
    <s v="CUST0915"/>
    <x v="1"/>
    <n v="6"/>
    <n v="7"/>
    <s v="NO"/>
    <n v="46.81"/>
    <n v="42"/>
    <s v="PREFER NOT TO SAY"/>
    <x v="0"/>
    <x v="2"/>
    <n v="46.81"/>
    <x v="0"/>
    <s v="OK"/>
    <x v="1"/>
    <n v="10"/>
    <x v="1"/>
  </r>
  <r>
    <s v="CUST0278"/>
    <x v="4"/>
    <n v="6"/>
    <n v="4"/>
    <s v="N"/>
    <n v="117.05"/>
    <m/>
    <s v="M"/>
    <x v="0"/>
    <x v="0"/>
    <n v="117.05"/>
    <x v="0"/>
    <s v="OK"/>
    <x v="0"/>
    <n v="7"/>
    <x v="1"/>
  </r>
  <r>
    <s v="CUST0511"/>
    <x v="3"/>
    <n v="7"/>
    <n v="4"/>
    <s v="NO"/>
    <n v="179.17"/>
    <n v="41"/>
    <s v="NAN"/>
    <x v="0"/>
    <x v="2"/>
    <n v="179.17"/>
    <x v="0"/>
    <s v="OK"/>
    <x v="1"/>
    <s v="NA"/>
    <x v="2"/>
  </r>
  <r>
    <s v="CUST0242"/>
    <x v="2"/>
    <n v="7"/>
    <n v="8"/>
    <s v="Y"/>
    <n v="7628"/>
    <n v="22"/>
    <s v="MALE"/>
    <x v="1"/>
    <x v="0"/>
    <n v="7628"/>
    <x v="0"/>
    <s v="OK"/>
    <x v="2"/>
    <n v="7"/>
    <x v="0"/>
  </r>
  <r>
    <s v="CUST0702"/>
    <x v="1"/>
    <n v="7"/>
    <n v="5"/>
    <s v="NAN"/>
    <n v="54.59"/>
    <n v="14"/>
    <s v="MALE"/>
    <x v="2"/>
    <x v="0"/>
    <n v="54.59"/>
    <x v="0"/>
    <s v="OK"/>
    <x v="4"/>
    <n v="10"/>
    <x v="1"/>
  </r>
  <r>
    <s v="CUST0636"/>
    <x v="4"/>
    <n v="6"/>
    <n v="6"/>
    <s v=""/>
    <n v="156.71"/>
    <n v="45"/>
    <s v="OTHER"/>
    <x v="2"/>
    <x v="2"/>
    <n v="156.71"/>
    <x v="0"/>
    <s v="OK"/>
    <x v="1"/>
    <n v="7"/>
    <x v="1"/>
  </r>
  <r>
    <s v="GUEST"/>
    <x v="0"/>
    <n v="7"/>
    <n v="5"/>
    <s v="YES"/>
    <n v="123.08"/>
    <n v="35"/>
    <s v="PREFER NOT TO SAY"/>
    <x v="1"/>
    <x v="2"/>
    <n v="123.08"/>
    <x v="0"/>
    <s v="OK"/>
    <x v="1"/>
    <n v="5"/>
    <x v="1"/>
  </r>
  <r>
    <s v="CUST0963"/>
    <x v="4"/>
    <n v="4"/>
    <n v="6"/>
    <s v="N"/>
    <n v="93.29"/>
    <n v="14"/>
    <s v="FEMALE"/>
    <x v="0"/>
    <x v="1"/>
    <n v="93.29"/>
    <x v="0"/>
    <s v="OK"/>
    <x v="4"/>
    <n v="7"/>
    <x v="1"/>
  </r>
  <r>
    <s v="CUST0096"/>
    <x v="4"/>
    <n v="5"/>
    <n v="4"/>
    <s v="YES"/>
    <n v="134.94999999999999"/>
    <n v="33"/>
    <s v="FEMALE"/>
    <x v="1"/>
    <x v="1"/>
    <n v="134.94999999999999"/>
    <x v="0"/>
    <s v="OK"/>
    <x v="1"/>
    <n v="7"/>
    <x v="1"/>
  </r>
  <r>
    <s v="CUST0528"/>
    <x v="4"/>
    <n v="10"/>
    <n v="6"/>
    <s v="NAN"/>
    <n v="65.95"/>
    <n v="33"/>
    <s v="PREFER NOT TO SAY"/>
    <x v="2"/>
    <x v="2"/>
    <n v="65.95"/>
    <x v="0"/>
    <s v="OK"/>
    <x v="1"/>
    <n v="7"/>
    <x v="1"/>
  </r>
  <r>
    <s v="CUST0589"/>
    <x v="1"/>
    <n v="6"/>
    <m/>
    <s v="N"/>
    <n v="155.15"/>
    <n v="16"/>
    <s v="F"/>
    <x v="0"/>
    <x v="1"/>
    <n v="155.15"/>
    <x v="0"/>
    <s v="MISSING DELIVERY STATUS"/>
    <x v="2"/>
    <n v="10"/>
    <x v="2"/>
  </r>
  <r>
    <s v="CUST0860"/>
    <x v="2"/>
    <n v="5"/>
    <n v="5"/>
    <s v="Y"/>
    <n v="101.22"/>
    <n v="27"/>
    <s v="F"/>
    <x v="1"/>
    <x v="1"/>
    <n v="101.22"/>
    <x v="0"/>
    <s v="OK"/>
    <x v="2"/>
    <n v="7"/>
    <x v="1"/>
  </r>
  <r>
    <s v="CUST0254"/>
    <x v="3"/>
    <n v="4"/>
    <n v="3"/>
    <s v="YES"/>
    <n v="83.08"/>
    <n v="47"/>
    <s v="NAN"/>
    <x v="1"/>
    <x v="2"/>
    <n v="83.08"/>
    <x v="0"/>
    <s v="OK"/>
    <x v="1"/>
    <s v="NA"/>
    <x v="2"/>
  </r>
  <r>
    <s v="CUST0011"/>
    <x v="2"/>
    <n v="4"/>
    <n v="2"/>
    <s v="NO"/>
    <n v="92.91"/>
    <n v="45"/>
    <s v="OTHER"/>
    <x v="0"/>
    <x v="2"/>
    <n v="92.91"/>
    <x v="0"/>
    <s v="OK"/>
    <x v="1"/>
    <n v="7"/>
    <x v="1"/>
  </r>
  <r>
    <s v="CUST0809"/>
    <x v="4"/>
    <n v="4"/>
    <n v="5"/>
    <s v="YES"/>
    <n v="140.84"/>
    <n v="23"/>
    <s v="NAN"/>
    <x v="1"/>
    <x v="2"/>
    <n v="140.84"/>
    <x v="0"/>
    <s v="OK"/>
    <x v="2"/>
    <n v="7"/>
    <x v="1"/>
  </r>
  <r>
    <s v="CUST0816"/>
    <x v="0"/>
    <m/>
    <n v="5"/>
    <s v="NAN"/>
    <n v="81.63"/>
    <n v="18"/>
    <s v="MALE"/>
    <x v="2"/>
    <x v="0"/>
    <n v="81.63"/>
    <x v="1"/>
    <s v="OK"/>
    <x v="2"/>
    <n v="5"/>
    <x v="1"/>
  </r>
  <r>
    <s v="CUST0943"/>
    <x v="3"/>
    <n v="5"/>
    <n v="6"/>
    <s v="NO"/>
    <n v="68.040000000000006"/>
    <n v="7"/>
    <s v="NAN"/>
    <x v="0"/>
    <x v="2"/>
    <n v="68.040000000000006"/>
    <x v="0"/>
    <s v="OK"/>
    <x v="4"/>
    <s v="NA"/>
    <x v="2"/>
  </r>
  <r>
    <s v="CUST0051"/>
    <x v="2"/>
    <n v="10"/>
    <n v="5"/>
    <s v="NO"/>
    <n v="116.25"/>
    <n v="30"/>
    <s v="PREFER NOT TO SAY"/>
    <x v="0"/>
    <x v="2"/>
    <n v="116.25"/>
    <x v="0"/>
    <s v="OK"/>
    <x v="1"/>
    <n v="7"/>
    <x v="1"/>
  </r>
  <r>
    <s v="CUST0207"/>
    <x v="1"/>
    <m/>
    <n v="6"/>
    <s v="NO"/>
    <n v="107.66"/>
    <n v="37"/>
    <s v="M"/>
    <x v="0"/>
    <x v="0"/>
    <n v="107.66"/>
    <x v="1"/>
    <s v="OK"/>
    <x v="1"/>
    <n v="10"/>
    <x v="1"/>
  </r>
  <r>
    <s v="CUST0897"/>
    <x v="4"/>
    <n v="8"/>
    <n v="7"/>
    <s v="NAN"/>
    <n v="71.3"/>
    <n v="33"/>
    <s v=""/>
    <x v="2"/>
    <x v="2"/>
    <n v="71.3"/>
    <x v="0"/>
    <s v="OK"/>
    <x v="1"/>
    <n v="7"/>
    <x v="1"/>
  </r>
  <r>
    <s v="CUST0965"/>
    <x v="2"/>
    <m/>
    <n v="7"/>
    <s v="NO"/>
    <n v="127.87"/>
    <n v="30"/>
    <s v="FEMALE"/>
    <x v="0"/>
    <x v="1"/>
    <n v="127.87"/>
    <x v="1"/>
    <s v="OK"/>
    <x v="1"/>
    <n v="7"/>
    <x v="1"/>
  </r>
  <r>
    <s v="CUST0421"/>
    <x v="4"/>
    <n v="7"/>
    <n v="6"/>
    <s v="YES"/>
    <n v="35.119999999999997"/>
    <n v="20"/>
    <s v="NAN"/>
    <x v="1"/>
    <x v="2"/>
    <n v="35.119999999999997"/>
    <x v="0"/>
    <s v="OK"/>
    <x v="2"/>
    <n v="7"/>
    <x v="1"/>
  </r>
  <r>
    <s v="CUST0441"/>
    <x v="0"/>
    <n v="10"/>
    <n v="3"/>
    <s v="YES"/>
    <n v="59.11"/>
    <n v="27"/>
    <s v="M"/>
    <x v="1"/>
    <x v="0"/>
    <n v="59.11"/>
    <x v="0"/>
    <s v="OK"/>
    <x v="2"/>
    <n v="5"/>
    <x v="1"/>
  </r>
  <r>
    <s v="CUST0219"/>
    <x v="1"/>
    <n v="8"/>
    <n v="4"/>
    <s v="NO"/>
    <n v="181.32"/>
    <n v="46"/>
    <s v="MALE"/>
    <x v="0"/>
    <x v="0"/>
    <n v="181.32"/>
    <x v="0"/>
    <s v="OK"/>
    <x v="1"/>
    <n v="10"/>
    <x v="1"/>
  </r>
  <r>
    <s v="CUST0877"/>
    <x v="4"/>
    <n v="8"/>
    <n v="7"/>
    <s v="N"/>
    <n v="99.86"/>
    <n v="34"/>
    <s v="NAN"/>
    <x v="0"/>
    <x v="2"/>
    <n v="99.86"/>
    <x v="0"/>
    <s v="OK"/>
    <x v="1"/>
    <n v="7"/>
    <x v="1"/>
  </r>
  <r>
    <s v="CUST0472"/>
    <x v="1"/>
    <n v="8"/>
    <m/>
    <s v="YES"/>
    <n v="99.03"/>
    <n v="8"/>
    <s v="F"/>
    <x v="1"/>
    <x v="1"/>
    <n v="99.03"/>
    <x v="0"/>
    <s v="MISSING DELIVERY STATUS"/>
    <x v="4"/>
    <n v="10"/>
    <x v="2"/>
  </r>
  <r>
    <s v="CUST0240"/>
    <x v="1"/>
    <n v="6"/>
    <n v="7"/>
    <s v="N"/>
    <n v="41.06"/>
    <n v="36"/>
    <s v="M"/>
    <x v="0"/>
    <x v="0"/>
    <n v="41.06"/>
    <x v="0"/>
    <s v="OK"/>
    <x v="1"/>
    <n v="10"/>
    <x v="1"/>
  </r>
  <r>
    <s v="GUEST"/>
    <x v="4"/>
    <n v="6"/>
    <n v="3"/>
    <s v="Y"/>
    <n v="3.39"/>
    <n v="33"/>
    <s v="OTHER"/>
    <x v="1"/>
    <x v="2"/>
    <n v="3.39"/>
    <x v="0"/>
    <s v="OK"/>
    <x v="1"/>
    <n v="7"/>
    <x v="1"/>
  </r>
  <r>
    <s v="CUST0306"/>
    <x v="0"/>
    <n v="9"/>
    <m/>
    <s v=""/>
    <n v="91.52"/>
    <n v="40"/>
    <s v="MALE"/>
    <x v="2"/>
    <x v="0"/>
    <n v="91.52"/>
    <x v="0"/>
    <s v="MISSING DELIVERY STATUS"/>
    <x v="1"/>
    <n v="5"/>
    <x v="2"/>
  </r>
  <r>
    <s v="CUST0261"/>
    <x v="0"/>
    <n v="2"/>
    <n v="5"/>
    <s v="NO"/>
    <n v="81.319999999999993"/>
    <n v="53"/>
    <s v="M"/>
    <x v="0"/>
    <x v="0"/>
    <n v="81.319999999999993"/>
    <x v="0"/>
    <s v="OK"/>
    <x v="1"/>
    <n v="5"/>
    <x v="1"/>
  </r>
  <r>
    <s v="CUST0087"/>
    <x v="4"/>
    <n v="4"/>
    <n v="5"/>
    <s v="NO"/>
    <n v="17.55"/>
    <n v="50"/>
    <s v="F"/>
    <x v="0"/>
    <x v="1"/>
    <n v="17.55"/>
    <x v="0"/>
    <s v="OK"/>
    <x v="1"/>
    <n v="7"/>
    <x v="1"/>
  </r>
  <r>
    <s v="CUST0345"/>
    <x v="2"/>
    <n v="7"/>
    <n v="5"/>
    <s v=""/>
    <n v="146.4"/>
    <n v="9"/>
    <s v="F"/>
    <x v="2"/>
    <x v="1"/>
    <n v="146.4"/>
    <x v="0"/>
    <s v="OK"/>
    <x v="4"/>
    <n v="7"/>
    <x v="1"/>
  </r>
  <r>
    <s v="CUST0471"/>
    <x v="3"/>
    <n v="5"/>
    <n v="8"/>
    <s v="Y"/>
    <n v="198.54"/>
    <n v="28"/>
    <s v=""/>
    <x v="1"/>
    <x v="2"/>
    <n v="198.54"/>
    <x v="0"/>
    <s v="OK"/>
    <x v="2"/>
    <s v="NA"/>
    <x v="2"/>
  </r>
  <r>
    <s v="CUST0784"/>
    <x v="1"/>
    <n v="9"/>
    <n v="6"/>
    <s v="YES"/>
    <n v="42.15"/>
    <m/>
    <s v="PREFER NOT TO SAY"/>
    <x v="1"/>
    <x v="2"/>
    <n v="42.15"/>
    <x v="0"/>
    <s v="OK"/>
    <x v="0"/>
    <n v="10"/>
    <x v="1"/>
  </r>
  <r>
    <s v="CUST0116"/>
    <x v="1"/>
    <n v="11"/>
    <n v="4"/>
    <s v="NAN"/>
    <n v="88.08"/>
    <n v="24"/>
    <s v="F"/>
    <x v="2"/>
    <x v="1"/>
    <n v="88.08"/>
    <x v="0"/>
    <s v="OK"/>
    <x v="2"/>
    <n v="10"/>
    <x v="1"/>
  </r>
  <r>
    <s v="CUST0020"/>
    <x v="2"/>
    <n v="8"/>
    <n v="3"/>
    <s v="YES"/>
    <n v="144.5"/>
    <n v="44"/>
    <s v="M"/>
    <x v="1"/>
    <x v="0"/>
    <n v="144.5"/>
    <x v="0"/>
    <s v="OK"/>
    <x v="1"/>
    <n v="7"/>
    <x v="1"/>
  </r>
  <r>
    <s v="CUST0286"/>
    <x v="2"/>
    <n v="3"/>
    <n v="4"/>
    <s v="Y"/>
    <n v="86.55"/>
    <n v="0"/>
    <s v="NAN"/>
    <x v="1"/>
    <x v="2"/>
    <n v="86.55"/>
    <x v="0"/>
    <s v="OK"/>
    <x v="4"/>
    <n v="7"/>
    <x v="1"/>
  </r>
  <r>
    <s v="CUST0501"/>
    <x v="2"/>
    <n v="8"/>
    <n v="3"/>
    <s v="YES"/>
    <n v="90.93"/>
    <n v="51"/>
    <s v="FEMALE"/>
    <x v="1"/>
    <x v="1"/>
    <n v="90.93"/>
    <x v="0"/>
    <s v="OK"/>
    <x v="1"/>
    <n v="7"/>
    <x v="1"/>
  </r>
  <r>
    <s v="CUST0248"/>
    <x v="0"/>
    <n v="6"/>
    <n v="7"/>
    <s v="NO"/>
    <n v="42.41"/>
    <n v="41"/>
    <s v="FEMALE"/>
    <x v="0"/>
    <x v="1"/>
    <n v="42.41"/>
    <x v="0"/>
    <s v="OK"/>
    <x v="1"/>
    <n v="5"/>
    <x v="0"/>
  </r>
  <r>
    <s v="CUST0249"/>
    <x v="0"/>
    <n v="5"/>
    <n v="4"/>
    <s v="NAN"/>
    <n v="64.25"/>
    <n v="43"/>
    <s v="FEMALE"/>
    <x v="2"/>
    <x v="1"/>
    <n v="64.25"/>
    <x v="0"/>
    <s v="OK"/>
    <x v="1"/>
    <n v="5"/>
    <x v="1"/>
  </r>
  <r>
    <s v="CUST0787"/>
    <x v="2"/>
    <n v="7"/>
    <n v="4"/>
    <s v="N"/>
    <n v="85.4"/>
    <n v="13"/>
    <s v="F"/>
    <x v="0"/>
    <x v="1"/>
    <n v="85.4"/>
    <x v="0"/>
    <s v="OK"/>
    <x v="4"/>
    <n v="7"/>
    <x v="1"/>
  </r>
  <r>
    <s v="CUST0253"/>
    <x v="1"/>
    <n v="4"/>
    <n v="9"/>
    <s v="NO"/>
    <n v="83.61"/>
    <n v="50"/>
    <s v="FEMALE"/>
    <x v="0"/>
    <x v="1"/>
    <n v="83.61"/>
    <x v="0"/>
    <s v="OK"/>
    <x v="1"/>
    <n v="10"/>
    <x v="1"/>
  </r>
  <r>
    <s v="CUST0924"/>
    <x v="2"/>
    <n v="8"/>
    <n v="7"/>
    <s v="Y"/>
    <n v="145.80000000000001"/>
    <n v="45"/>
    <s v="NAN"/>
    <x v="1"/>
    <x v="2"/>
    <n v="145.80000000000001"/>
    <x v="0"/>
    <s v="OK"/>
    <x v="1"/>
    <n v="7"/>
    <x v="1"/>
  </r>
  <r>
    <s v="CUST0575"/>
    <x v="2"/>
    <n v="8"/>
    <n v="5"/>
    <s v="YES"/>
    <n v="116.29"/>
    <n v="23"/>
    <s v="M"/>
    <x v="1"/>
    <x v="0"/>
    <n v="116.29"/>
    <x v="0"/>
    <s v="OK"/>
    <x v="2"/>
    <n v="7"/>
    <x v="1"/>
  </r>
  <r>
    <s v="CUST0335"/>
    <x v="4"/>
    <n v="8"/>
    <n v="6"/>
    <s v="NO"/>
    <n v="152.63999999999999"/>
    <n v="9"/>
    <s v="OTHER"/>
    <x v="0"/>
    <x v="2"/>
    <n v="152.63999999999999"/>
    <x v="0"/>
    <s v="OK"/>
    <x v="4"/>
    <n v="7"/>
    <x v="1"/>
  </r>
  <r>
    <s v="CUST0083"/>
    <x v="0"/>
    <n v="6"/>
    <n v="3"/>
    <s v="NO"/>
    <n v="45.23"/>
    <n v="7"/>
    <s v=""/>
    <x v="0"/>
    <x v="2"/>
    <n v="45.23"/>
    <x v="0"/>
    <s v="OK"/>
    <x v="4"/>
    <n v="5"/>
    <x v="1"/>
  </r>
  <r>
    <s v="CUST0647"/>
    <x v="0"/>
    <n v="8"/>
    <n v="6"/>
    <s v="YES"/>
    <n v="75.2"/>
    <n v="48"/>
    <s v="OTHER"/>
    <x v="1"/>
    <x v="2"/>
    <n v="75.2"/>
    <x v="0"/>
    <s v="OK"/>
    <x v="1"/>
    <n v="5"/>
    <x v="0"/>
  </r>
  <r>
    <s v="CUST0711"/>
    <x v="3"/>
    <n v="7"/>
    <n v="6"/>
    <s v="NO"/>
    <n v="98.09"/>
    <n v="25"/>
    <s v="PREFER NOT TO SAY"/>
    <x v="0"/>
    <x v="2"/>
    <n v="98.09"/>
    <x v="0"/>
    <s v="OK"/>
    <x v="2"/>
    <s v="NA"/>
    <x v="2"/>
  </r>
  <r>
    <s v="CUST0439"/>
    <x v="2"/>
    <n v="6"/>
    <n v="5"/>
    <s v=""/>
    <n v="71.900000000000006"/>
    <n v="28"/>
    <s v="OTHER"/>
    <x v="2"/>
    <x v="2"/>
    <n v="71.900000000000006"/>
    <x v="0"/>
    <s v="OK"/>
    <x v="2"/>
    <n v="7"/>
    <x v="1"/>
  </r>
  <r>
    <s v="CUST0526"/>
    <x v="2"/>
    <n v="7"/>
    <n v="9"/>
    <s v="NO"/>
    <n v="133.82"/>
    <n v="26"/>
    <s v="MALE"/>
    <x v="0"/>
    <x v="0"/>
    <n v="133.82"/>
    <x v="0"/>
    <s v="OK"/>
    <x v="2"/>
    <n v="7"/>
    <x v="0"/>
  </r>
  <r>
    <s v="CUST0158"/>
    <x v="4"/>
    <n v="10"/>
    <n v="4"/>
    <s v="YES"/>
    <n v="68.17"/>
    <n v="41"/>
    <s v="F"/>
    <x v="1"/>
    <x v="1"/>
    <n v="68.17"/>
    <x v="0"/>
    <s v="OK"/>
    <x v="1"/>
    <n v="7"/>
    <x v="1"/>
  </r>
  <r>
    <s v="CUST0243"/>
    <x v="1"/>
    <n v="7"/>
    <n v="5"/>
    <s v="Y"/>
    <n v="103.67"/>
    <m/>
    <s v="PREFER NOT TO SAY"/>
    <x v="1"/>
    <x v="2"/>
    <n v="103.67"/>
    <x v="0"/>
    <s v="OK"/>
    <x v="0"/>
    <n v="10"/>
    <x v="1"/>
  </r>
  <r>
    <s v="CUST0337"/>
    <x v="0"/>
    <n v="4"/>
    <n v="6"/>
    <s v="N"/>
    <n v="85.99"/>
    <n v="48"/>
    <s v="F"/>
    <x v="0"/>
    <x v="1"/>
    <n v="85.99"/>
    <x v="0"/>
    <s v="OK"/>
    <x v="1"/>
    <n v="5"/>
    <x v="0"/>
  </r>
  <r>
    <s v="CUST0266"/>
    <x v="4"/>
    <n v="9"/>
    <n v="6"/>
    <s v="Y"/>
    <n v="74"/>
    <n v="19"/>
    <s v="FEMALE"/>
    <x v="1"/>
    <x v="1"/>
    <n v="74"/>
    <x v="0"/>
    <s v="OK"/>
    <x v="2"/>
    <n v="7"/>
    <x v="1"/>
  </r>
  <r>
    <s v="CUST0866"/>
    <x v="0"/>
    <n v="9"/>
    <n v="8"/>
    <s v="YES"/>
    <n v="80.900000000000006"/>
    <n v="50"/>
    <s v="NAN"/>
    <x v="1"/>
    <x v="2"/>
    <n v="80.900000000000006"/>
    <x v="0"/>
    <s v="OK"/>
    <x v="1"/>
    <n v="5"/>
    <x v="0"/>
  </r>
  <r>
    <s v="CUST0291"/>
    <x v="0"/>
    <n v="5"/>
    <n v="7"/>
    <s v="Y"/>
    <n v="0.73"/>
    <n v="36"/>
    <s v="MALE"/>
    <x v="1"/>
    <x v="0"/>
    <n v="0.73"/>
    <x v="0"/>
    <s v="OK"/>
    <x v="1"/>
    <n v="5"/>
    <x v="0"/>
  </r>
  <r>
    <s v="CUST0376"/>
    <x v="1"/>
    <n v="7"/>
    <n v="6"/>
    <s v="YES"/>
    <n v="98.87"/>
    <n v="12"/>
    <s v="OTHER"/>
    <x v="1"/>
    <x v="2"/>
    <n v="98.87"/>
    <x v="0"/>
    <s v="OK"/>
    <x v="4"/>
    <n v="10"/>
    <x v="1"/>
  </r>
  <r>
    <s v="CUST0169"/>
    <x v="2"/>
    <n v="8"/>
    <n v="5"/>
    <s v="NAN"/>
    <n v="120.54"/>
    <n v="53"/>
    <s v=""/>
    <x v="2"/>
    <x v="2"/>
    <n v="120.54"/>
    <x v="0"/>
    <s v="OK"/>
    <x v="1"/>
    <n v="7"/>
    <x v="1"/>
  </r>
  <r>
    <s v="CUST0435"/>
    <x v="1"/>
    <n v="6"/>
    <n v="5"/>
    <s v="YES"/>
    <n v="98.42"/>
    <n v="23"/>
    <s v="M"/>
    <x v="1"/>
    <x v="0"/>
    <n v="98.42"/>
    <x v="0"/>
    <s v="OK"/>
    <x v="2"/>
    <n v="10"/>
    <x v="1"/>
  </r>
  <r>
    <s v="CUST0415"/>
    <x v="2"/>
    <n v="9"/>
    <n v="9"/>
    <s v="NO"/>
    <n v="61.99"/>
    <n v="49"/>
    <s v="PREFER NOT TO SAY"/>
    <x v="0"/>
    <x v="2"/>
    <n v="61.99"/>
    <x v="0"/>
    <s v="OK"/>
    <x v="1"/>
    <n v="7"/>
    <x v="0"/>
  </r>
  <r>
    <s v="CUST0780"/>
    <x v="3"/>
    <n v="12"/>
    <n v="3"/>
    <s v="NO"/>
    <n v="103.79"/>
    <n v="15"/>
    <s v="MALE"/>
    <x v="0"/>
    <x v="0"/>
    <n v="103.79"/>
    <x v="0"/>
    <s v="OK"/>
    <x v="2"/>
    <s v="NA"/>
    <x v="2"/>
  </r>
  <r>
    <s v="CUST0759"/>
    <x v="0"/>
    <n v="7"/>
    <n v="5"/>
    <s v="NO"/>
    <n v="150.22"/>
    <n v="22"/>
    <s v="NAN"/>
    <x v="0"/>
    <x v="2"/>
    <n v="150.22"/>
    <x v="0"/>
    <s v="OK"/>
    <x v="2"/>
    <n v="5"/>
    <x v="1"/>
  </r>
  <r>
    <s v="CUST0852"/>
    <x v="4"/>
    <n v="6"/>
    <n v="3"/>
    <s v="YES"/>
    <n v="111.07"/>
    <n v="54"/>
    <s v="MALE"/>
    <x v="1"/>
    <x v="0"/>
    <n v="111.07"/>
    <x v="0"/>
    <s v="OK"/>
    <x v="1"/>
    <n v="7"/>
    <x v="1"/>
  </r>
  <r>
    <s v="CUST0964"/>
    <x v="2"/>
    <n v="7"/>
    <n v="4"/>
    <s v="NO"/>
    <n v="120.61"/>
    <n v="40"/>
    <s v="FEMALE"/>
    <x v="0"/>
    <x v="1"/>
    <n v="120.61"/>
    <x v="0"/>
    <s v="OK"/>
    <x v="1"/>
    <n v="7"/>
    <x v="1"/>
  </r>
  <r>
    <s v="CUST0993"/>
    <x v="4"/>
    <n v="6"/>
    <n v="4"/>
    <s v="YES"/>
    <n v="7563"/>
    <n v="33"/>
    <s v="NAN"/>
    <x v="1"/>
    <x v="2"/>
    <n v="7563"/>
    <x v="0"/>
    <s v="OK"/>
    <x v="1"/>
    <n v="7"/>
    <x v="1"/>
  </r>
  <r>
    <s v="CUST0109"/>
    <x v="4"/>
    <n v="10"/>
    <n v="8"/>
    <s v="YES"/>
    <n v="111.47"/>
    <n v="44"/>
    <s v="F"/>
    <x v="1"/>
    <x v="1"/>
    <n v="111.47"/>
    <x v="0"/>
    <s v="OK"/>
    <x v="1"/>
    <n v="7"/>
    <x v="0"/>
  </r>
  <r>
    <s v="CUST0272"/>
    <x v="1"/>
    <n v="7"/>
    <n v="8"/>
    <s v="Y"/>
    <n v="150.22999999999999"/>
    <n v="46"/>
    <s v=""/>
    <x v="1"/>
    <x v="2"/>
    <n v="150.22999999999999"/>
    <x v="0"/>
    <s v="OK"/>
    <x v="1"/>
    <n v="10"/>
    <x v="1"/>
  </r>
  <r>
    <s v="CUST0044"/>
    <x v="1"/>
    <n v="3"/>
    <n v="4"/>
    <s v="YES"/>
    <n v="55.33"/>
    <n v="32"/>
    <s v="M"/>
    <x v="1"/>
    <x v="0"/>
    <n v="55.33"/>
    <x v="0"/>
    <s v="OK"/>
    <x v="1"/>
    <n v="10"/>
    <x v="1"/>
  </r>
  <r>
    <s v="CUST0438"/>
    <x v="1"/>
    <n v="6"/>
    <n v="4"/>
    <s v="Y"/>
    <n v="104.56"/>
    <n v="53"/>
    <s v="FEMALE"/>
    <x v="1"/>
    <x v="1"/>
    <n v="104.56"/>
    <x v="0"/>
    <s v="OK"/>
    <x v="1"/>
    <n v="10"/>
    <x v="1"/>
  </r>
  <r>
    <s v="CUST0461"/>
    <x v="4"/>
    <m/>
    <n v="8"/>
    <s v="NO"/>
    <n v="85.2"/>
    <n v="56"/>
    <s v="NAN"/>
    <x v="0"/>
    <x v="2"/>
    <n v="85.2"/>
    <x v="1"/>
    <s v="OK"/>
    <x v="1"/>
    <n v="7"/>
    <x v="0"/>
  </r>
  <r>
    <s v="CUST0059"/>
    <x v="2"/>
    <n v="4"/>
    <m/>
    <s v="YES"/>
    <n v="176.69"/>
    <n v="18"/>
    <s v="FEMALE"/>
    <x v="1"/>
    <x v="1"/>
    <n v="176.69"/>
    <x v="0"/>
    <s v="MISSING DELIVERY STATUS"/>
    <x v="2"/>
    <n v="7"/>
    <x v="2"/>
  </r>
  <r>
    <s v="GUEST"/>
    <x v="1"/>
    <n v="5"/>
    <n v="4"/>
    <s v="NAN"/>
    <n v="95.92"/>
    <n v="56"/>
    <s v="PREFER NOT TO SAY"/>
    <x v="2"/>
    <x v="2"/>
    <n v="95.92"/>
    <x v="0"/>
    <s v="OK"/>
    <x v="1"/>
    <n v="10"/>
    <x v="1"/>
  </r>
  <r>
    <s v="CUST0707"/>
    <x v="1"/>
    <n v="8"/>
    <n v="6"/>
    <s v="Y"/>
    <n v="142.63"/>
    <n v="59"/>
    <s v=""/>
    <x v="1"/>
    <x v="2"/>
    <n v="142.63"/>
    <x v="0"/>
    <s v="OK"/>
    <x v="1"/>
    <n v="10"/>
    <x v="1"/>
  </r>
  <r>
    <s v="CUST0071"/>
    <x v="4"/>
    <n v="7"/>
    <n v="7"/>
    <s v="NO"/>
    <n v="51.87"/>
    <n v="20"/>
    <s v="PREFER NOT TO SAY"/>
    <x v="0"/>
    <x v="2"/>
    <n v="51.87"/>
    <x v="0"/>
    <s v="OK"/>
    <x v="2"/>
    <n v="7"/>
    <x v="1"/>
  </r>
  <r>
    <s v="CUST0388"/>
    <x v="2"/>
    <n v="9"/>
    <n v="5"/>
    <s v="NAN"/>
    <n v="197.56"/>
    <m/>
    <s v="FEMALE"/>
    <x v="2"/>
    <x v="1"/>
    <n v="197.56"/>
    <x v="0"/>
    <s v="OK"/>
    <x v="0"/>
    <n v="7"/>
    <x v="1"/>
  </r>
  <r>
    <s v="CUST0862"/>
    <x v="0"/>
    <n v="5"/>
    <n v="2"/>
    <s v="NO"/>
    <n v="71.91"/>
    <n v="47"/>
    <s v="PREFER NOT TO SAY"/>
    <x v="0"/>
    <x v="2"/>
    <n v="71.91"/>
    <x v="0"/>
    <s v="OK"/>
    <x v="1"/>
    <n v="5"/>
    <x v="1"/>
  </r>
  <r>
    <s v="CUST0085"/>
    <x v="2"/>
    <n v="6"/>
    <n v="7"/>
    <s v="YES"/>
    <n v="97.24"/>
    <n v="26"/>
    <s v="MALE"/>
    <x v="1"/>
    <x v="0"/>
    <n v="97.24"/>
    <x v="0"/>
    <s v="OK"/>
    <x v="2"/>
    <n v="7"/>
    <x v="1"/>
  </r>
  <r>
    <s v="CUST0344"/>
    <x v="4"/>
    <n v="5"/>
    <n v="9"/>
    <s v="NO"/>
    <n v="110.49"/>
    <n v="43"/>
    <s v="NAN"/>
    <x v="0"/>
    <x v="2"/>
    <n v="110.49"/>
    <x v="0"/>
    <s v="OK"/>
    <x v="1"/>
    <n v="7"/>
    <x v="0"/>
  </r>
  <r>
    <s v="GUEST"/>
    <x v="1"/>
    <n v="9"/>
    <n v="3"/>
    <s v="NO"/>
    <n v="70.37"/>
    <n v="36"/>
    <s v="MALE"/>
    <x v="0"/>
    <x v="0"/>
    <n v="70.37"/>
    <x v="0"/>
    <s v="OK"/>
    <x v="1"/>
    <n v="10"/>
    <x v="1"/>
  </r>
  <r>
    <s v="GUEST"/>
    <x v="2"/>
    <n v="7"/>
    <n v="7"/>
    <s v="YES"/>
    <n v="64.27"/>
    <n v="50"/>
    <s v="PREFER NOT TO SAY"/>
    <x v="1"/>
    <x v="2"/>
    <n v="64.27"/>
    <x v="0"/>
    <s v="OK"/>
    <x v="1"/>
    <n v="7"/>
    <x v="1"/>
  </r>
  <r>
    <s v="CUST0813"/>
    <x v="0"/>
    <n v="7"/>
    <n v="4"/>
    <s v="YES"/>
    <n v="142.28"/>
    <n v="25"/>
    <s v="OTHER"/>
    <x v="1"/>
    <x v="2"/>
    <n v="142.28"/>
    <x v="0"/>
    <s v="OK"/>
    <x v="2"/>
    <n v="5"/>
    <x v="1"/>
  </r>
  <r>
    <s v="CUST0193"/>
    <x v="0"/>
    <m/>
    <n v="4"/>
    <s v="N"/>
    <n v="21.93"/>
    <n v="48"/>
    <s v="F"/>
    <x v="0"/>
    <x v="1"/>
    <n v="21.93"/>
    <x v="1"/>
    <s v="OK"/>
    <x v="1"/>
    <n v="5"/>
    <x v="1"/>
  </r>
  <r>
    <s v="CUST0650"/>
    <x v="0"/>
    <n v="10"/>
    <n v="11"/>
    <s v="Y"/>
    <n v="14.89"/>
    <n v="32"/>
    <s v="NAN"/>
    <x v="1"/>
    <x v="2"/>
    <n v="14.89"/>
    <x v="0"/>
    <s v="OK"/>
    <x v="1"/>
    <n v="5"/>
    <x v="0"/>
  </r>
  <r>
    <s v="CUST0463"/>
    <x v="3"/>
    <n v="6"/>
    <n v="7"/>
    <s v="Y"/>
    <n v="227.73"/>
    <n v="29"/>
    <s v="NAN"/>
    <x v="1"/>
    <x v="2"/>
    <n v="227.73"/>
    <x v="0"/>
    <s v="OK"/>
    <x v="2"/>
    <s v="NA"/>
    <x v="2"/>
  </r>
  <r>
    <s v="CUST0038"/>
    <x v="0"/>
    <n v="9"/>
    <n v="3"/>
    <s v="NO"/>
    <n v="74.39"/>
    <n v="31"/>
    <s v="M"/>
    <x v="0"/>
    <x v="0"/>
    <n v="74.39"/>
    <x v="0"/>
    <s v="OK"/>
    <x v="1"/>
    <n v="5"/>
    <x v="1"/>
  </r>
  <r>
    <s v="CUST0227"/>
    <x v="0"/>
    <n v="8"/>
    <n v="7"/>
    <s v="N"/>
    <n v="136.61000000000001"/>
    <n v="34"/>
    <s v=""/>
    <x v="0"/>
    <x v="2"/>
    <n v="136.61000000000001"/>
    <x v="0"/>
    <s v="OK"/>
    <x v="1"/>
    <n v="5"/>
    <x v="0"/>
  </r>
  <r>
    <s v="CUST0159"/>
    <x v="0"/>
    <n v="2"/>
    <n v="4"/>
    <s v="NO"/>
    <n v="96.59"/>
    <n v="34"/>
    <s v="M"/>
    <x v="0"/>
    <x v="0"/>
    <n v="96.59"/>
    <x v="0"/>
    <s v="OK"/>
    <x v="1"/>
    <n v="5"/>
    <x v="1"/>
  </r>
  <r>
    <s v="CUST0175"/>
    <x v="1"/>
    <n v="8"/>
    <n v="5"/>
    <s v="YES"/>
    <n v="4263"/>
    <n v="60"/>
    <s v="OTHER"/>
    <x v="1"/>
    <x v="2"/>
    <n v="4263"/>
    <x v="0"/>
    <s v="OK"/>
    <x v="3"/>
    <n v="10"/>
    <x v="1"/>
  </r>
  <r>
    <s v="CUST0512"/>
    <x v="4"/>
    <n v="7"/>
    <n v="8"/>
    <s v="YES"/>
    <n v="44.11"/>
    <n v="8"/>
    <s v="OTHER"/>
    <x v="1"/>
    <x v="2"/>
    <n v="44.11"/>
    <x v="0"/>
    <s v="OK"/>
    <x v="4"/>
    <n v="7"/>
    <x v="0"/>
  </r>
  <r>
    <s v="CUST0118"/>
    <x v="4"/>
    <n v="8"/>
    <n v="5"/>
    <s v="NO"/>
    <n v="49.57"/>
    <n v="54"/>
    <s v="MALE"/>
    <x v="0"/>
    <x v="0"/>
    <n v="49.57"/>
    <x v="0"/>
    <s v="OK"/>
    <x v="1"/>
    <n v="7"/>
    <x v="1"/>
  </r>
  <r>
    <s v="CUST0785"/>
    <x v="4"/>
    <n v="9"/>
    <n v="7"/>
    <s v="NO"/>
    <n v="98.85"/>
    <n v="26"/>
    <s v="F"/>
    <x v="0"/>
    <x v="1"/>
    <n v="98.85"/>
    <x v="0"/>
    <s v="OK"/>
    <x v="2"/>
    <n v="7"/>
    <x v="1"/>
  </r>
  <r>
    <s v="CUST0967"/>
    <x v="0"/>
    <n v="8"/>
    <n v="6"/>
    <s v="YES"/>
    <n v="120.17"/>
    <n v="30"/>
    <s v="PREFER NOT TO SAY"/>
    <x v="1"/>
    <x v="2"/>
    <n v="120.17"/>
    <x v="0"/>
    <s v="OK"/>
    <x v="1"/>
    <n v="5"/>
    <x v="0"/>
  </r>
  <r>
    <s v="CUST0778"/>
    <x v="1"/>
    <n v="4"/>
    <n v="7"/>
    <s v="YES"/>
    <n v="68.09"/>
    <n v="41"/>
    <s v="M"/>
    <x v="1"/>
    <x v="0"/>
    <n v="68.09"/>
    <x v="0"/>
    <s v="OK"/>
    <x v="1"/>
    <n v="10"/>
    <x v="1"/>
  </r>
  <r>
    <s v="CUST0479"/>
    <x v="0"/>
    <n v="6"/>
    <n v="8"/>
    <s v="N"/>
    <n v="59.89"/>
    <n v="32"/>
    <s v="MALE"/>
    <x v="0"/>
    <x v="0"/>
    <n v="59.89"/>
    <x v="0"/>
    <s v="OK"/>
    <x v="1"/>
    <n v="5"/>
    <x v="0"/>
  </r>
  <r>
    <s v="CUST0909"/>
    <x v="2"/>
    <n v="7"/>
    <n v="3"/>
    <s v="YES"/>
    <n v="114.42"/>
    <m/>
    <s v=""/>
    <x v="1"/>
    <x v="2"/>
    <n v="114.42"/>
    <x v="0"/>
    <s v="OK"/>
    <x v="0"/>
    <n v="7"/>
    <x v="1"/>
  </r>
  <r>
    <s v="CUST0173"/>
    <x v="2"/>
    <n v="8"/>
    <n v="8"/>
    <s v="NO"/>
    <n v="98.66"/>
    <n v="34"/>
    <s v="FEMALE"/>
    <x v="0"/>
    <x v="1"/>
    <n v="98.66"/>
    <x v="0"/>
    <s v="OK"/>
    <x v="1"/>
    <n v="7"/>
    <x v="0"/>
  </r>
  <r>
    <s v="CUST0532"/>
    <x v="1"/>
    <n v="7"/>
    <n v="4"/>
    <s v="NO"/>
    <n v="145.99"/>
    <n v="40"/>
    <s v="PREFER NOT TO SAY"/>
    <x v="0"/>
    <x v="2"/>
    <n v="145.99"/>
    <x v="0"/>
    <s v="OK"/>
    <x v="1"/>
    <n v="10"/>
    <x v="1"/>
  </r>
  <r>
    <s v="CUST0075"/>
    <x v="0"/>
    <n v="11"/>
    <n v="5"/>
    <s v="NAN"/>
    <n v="45.58"/>
    <n v="46"/>
    <s v="M"/>
    <x v="2"/>
    <x v="0"/>
    <n v="45.58"/>
    <x v="0"/>
    <s v="OK"/>
    <x v="1"/>
    <n v="5"/>
    <x v="1"/>
  </r>
  <r>
    <s v="CUST0223"/>
    <x v="4"/>
    <n v="3"/>
    <n v="6"/>
    <s v="N"/>
    <n v="107.59"/>
    <n v="33"/>
    <s v="MALE"/>
    <x v="0"/>
    <x v="0"/>
    <n v="107.59"/>
    <x v="0"/>
    <s v="OK"/>
    <x v="1"/>
    <n v="7"/>
    <x v="1"/>
  </r>
  <r>
    <s v="CUST0295"/>
    <x v="4"/>
    <n v="8"/>
    <m/>
    <s v="YES"/>
    <n v="99.45"/>
    <m/>
    <s v="OTHER"/>
    <x v="1"/>
    <x v="2"/>
    <n v="99.45"/>
    <x v="0"/>
    <s v="MISSING DELIVERY STATUS"/>
    <x v="0"/>
    <n v="7"/>
    <x v="2"/>
  </r>
  <r>
    <s v="CUST0980"/>
    <x v="4"/>
    <n v="7"/>
    <n v="8"/>
    <s v="N"/>
    <n v="166.01"/>
    <n v="37"/>
    <s v="OTHER"/>
    <x v="0"/>
    <x v="2"/>
    <n v="166.01"/>
    <x v="0"/>
    <s v="OK"/>
    <x v="1"/>
    <n v="7"/>
    <x v="0"/>
  </r>
  <r>
    <s v="CUST0584"/>
    <x v="4"/>
    <n v="4"/>
    <n v="7"/>
    <s v="N"/>
    <n v="187.34"/>
    <n v="53"/>
    <s v="F"/>
    <x v="0"/>
    <x v="1"/>
    <n v="187.34"/>
    <x v="0"/>
    <s v="OK"/>
    <x v="1"/>
    <n v="7"/>
    <x v="1"/>
  </r>
  <r>
    <s v="CUST0029"/>
    <x v="3"/>
    <n v="8"/>
    <n v="4"/>
    <s v="N"/>
    <n v="70.03"/>
    <n v="46"/>
    <s v="NAN"/>
    <x v="0"/>
    <x v="2"/>
    <n v="70.03"/>
    <x v="0"/>
    <s v="OK"/>
    <x v="1"/>
    <s v="NA"/>
    <x v="2"/>
  </r>
  <r>
    <s v="CUST0712"/>
    <x v="4"/>
    <n v="3"/>
    <n v="3"/>
    <s v="NO"/>
    <n v="102.49"/>
    <n v="22"/>
    <s v="NAN"/>
    <x v="0"/>
    <x v="2"/>
    <n v="102.49"/>
    <x v="0"/>
    <s v="OK"/>
    <x v="2"/>
    <n v="7"/>
    <x v="1"/>
  </r>
  <r>
    <s v="CUST0590"/>
    <x v="0"/>
    <n v="3"/>
    <n v="4"/>
    <s v="NO"/>
    <n v="196.77"/>
    <m/>
    <s v="OTHER"/>
    <x v="0"/>
    <x v="2"/>
    <n v="196.77"/>
    <x v="0"/>
    <s v="OK"/>
    <x v="0"/>
    <n v="5"/>
    <x v="1"/>
  </r>
  <r>
    <s v="CUST0835"/>
    <x v="0"/>
    <n v="5"/>
    <n v="4"/>
    <s v="N"/>
    <n v="51.08"/>
    <n v="25"/>
    <s v="F"/>
    <x v="0"/>
    <x v="1"/>
    <n v="51.08"/>
    <x v="0"/>
    <s v="OK"/>
    <x v="2"/>
    <n v="5"/>
    <x v="1"/>
  </r>
  <r>
    <s v="CUST0962"/>
    <x v="0"/>
    <n v="9"/>
    <m/>
    <s v="NAN"/>
    <n v="95.27"/>
    <n v="52"/>
    <s v=""/>
    <x v="2"/>
    <x v="2"/>
    <n v="95.27"/>
    <x v="0"/>
    <s v="MISSING DELIVERY STATUS"/>
    <x v="1"/>
    <n v="5"/>
    <x v="2"/>
  </r>
  <r>
    <s v="CUST0341"/>
    <x v="2"/>
    <n v="7"/>
    <n v="4"/>
    <s v="NO"/>
    <n v="8.1999999999999993"/>
    <n v="45"/>
    <s v="NAN"/>
    <x v="0"/>
    <x v="2"/>
    <n v="8.1999999999999993"/>
    <x v="0"/>
    <s v="OK"/>
    <x v="1"/>
    <n v="7"/>
    <x v="1"/>
  </r>
  <r>
    <s v="CUST0279"/>
    <x v="0"/>
    <n v="6"/>
    <n v="8"/>
    <s v="NO"/>
    <n v="49.02"/>
    <n v="37"/>
    <s v="F"/>
    <x v="0"/>
    <x v="1"/>
    <n v="49.02"/>
    <x v="0"/>
    <s v="OK"/>
    <x v="1"/>
    <n v="5"/>
    <x v="0"/>
  </r>
  <r>
    <s v="CUST0671"/>
    <x v="0"/>
    <n v="7"/>
    <n v="4"/>
    <s v="YES"/>
    <n v="168.4"/>
    <n v="51"/>
    <s v="NAN"/>
    <x v="1"/>
    <x v="2"/>
    <n v="168.4"/>
    <x v="0"/>
    <s v="OK"/>
    <x v="1"/>
    <n v="5"/>
    <x v="1"/>
  </r>
  <r>
    <s v="CUST0559"/>
    <x v="1"/>
    <n v="11"/>
    <n v="6"/>
    <s v="NO"/>
    <n v="109.34"/>
    <n v="34"/>
    <s v="NAN"/>
    <x v="0"/>
    <x v="2"/>
    <n v="109.34"/>
    <x v="0"/>
    <s v="OK"/>
    <x v="1"/>
    <n v="10"/>
    <x v="1"/>
  </r>
  <r>
    <s v="CUST0014"/>
    <x v="2"/>
    <n v="9"/>
    <n v="4"/>
    <s v="YES"/>
    <n v="86.91"/>
    <n v="37"/>
    <s v="F"/>
    <x v="1"/>
    <x v="1"/>
    <n v="86.91"/>
    <x v="0"/>
    <s v="OK"/>
    <x v="1"/>
    <n v="7"/>
    <x v="1"/>
  </r>
  <r>
    <s v="CUST0931"/>
    <x v="2"/>
    <n v="5"/>
    <n v="7"/>
    <s v="NO"/>
    <n v="80.760000000000005"/>
    <n v="30"/>
    <s v="PREFER NOT TO SAY"/>
    <x v="0"/>
    <x v="2"/>
    <n v="80.760000000000005"/>
    <x v="0"/>
    <s v="OK"/>
    <x v="1"/>
    <n v="7"/>
    <x v="1"/>
  </r>
  <r>
    <s v="CUST0048"/>
    <x v="2"/>
    <m/>
    <m/>
    <s v="NO"/>
    <n v="75.64"/>
    <n v="44"/>
    <s v="NAN"/>
    <x v="0"/>
    <x v="2"/>
    <n v="75.64"/>
    <x v="1"/>
    <s v="MISSING DELIVERY STATUS"/>
    <x v="1"/>
    <n v="7"/>
    <x v="2"/>
  </r>
  <r>
    <s v="CUST0522"/>
    <x v="2"/>
    <m/>
    <n v="3"/>
    <s v="NAN"/>
    <n v="81.92"/>
    <n v="40"/>
    <s v="FEMALE"/>
    <x v="2"/>
    <x v="1"/>
    <n v="81.92"/>
    <x v="1"/>
    <s v="OK"/>
    <x v="1"/>
    <n v="7"/>
    <x v="1"/>
  </r>
  <r>
    <s v="CUST0349"/>
    <x v="1"/>
    <n v="9"/>
    <n v="7"/>
    <s v="N"/>
    <n v="133.16999999999999"/>
    <n v="25"/>
    <s v="OTHER"/>
    <x v="0"/>
    <x v="2"/>
    <n v="133.16999999999999"/>
    <x v="0"/>
    <s v="OK"/>
    <x v="2"/>
    <n v="10"/>
    <x v="1"/>
  </r>
  <r>
    <s v="CUST0801"/>
    <x v="0"/>
    <n v="5"/>
    <n v="2"/>
    <s v="YES"/>
    <n v="47.68"/>
    <m/>
    <s v=""/>
    <x v="1"/>
    <x v="2"/>
    <n v="47.68"/>
    <x v="0"/>
    <s v="OK"/>
    <x v="0"/>
    <n v="5"/>
    <x v="1"/>
  </r>
  <r>
    <s v="CUST0218"/>
    <x v="0"/>
    <n v="10"/>
    <n v="3"/>
    <s v="YES"/>
    <n v="117.55"/>
    <n v="23"/>
    <s v="FEMALE"/>
    <x v="1"/>
    <x v="1"/>
    <n v="117.55"/>
    <x v="0"/>
    <s v="OK"/>
    <x v="2"/>
    <n v="5"/>
    <x v="1"/>
  </r>
  <r>
    <s v="CUST0693"/>
    <x v="0"/>
    <n v="10"/>
    <n v="5"/>
    <s v="Y"/>
    <n v="80.09"/>
    <n v="22"/>
    <s v="NAN"/>
    <x v="1"/>
    <x v="2"/>
    <n v="80.09"/>
    <x v="0"/>
    <s v="OK"/>
    <x v="2"/>
    <n v="5"/>
    <x v="1"/>
  </r>
  <r>
    <s v="CUST0874"/>
    <x v="0"/>
    <n v="7"/>
    <n v="5"/>
    <s v="NO"/>
    <n v="182.56"/>
    <n v="35"/>
    <s v="F"/>
    <x v="0"/>
    <x v="1"/>
    <n v="182.56"/>
    <x v="0"/>
    <s v="OK"/>
    <x v="1"/>
    <n v="5"/>
    <x v="1"/>
  </r>
  <r>
    <s v="CUST0690"/>
    <x v="3"/>
    <n v="6"/>
    <n v="4"/>
    <s v="YES"/>
    <n v="141.4"/>
    <n v="23"/>
    <s v="MALE"/>
    <x v="1"/>
    <x v="0"/>
    <n v="141.4"/>
    <x v="0"/>
    <s v="OK"/>
    <x v="2"/>
    <s v="NA"/>
    <x v="2"/>
  </r>
  <r>
    <s v="CUST0374"/>
    <x v="1"/>
    <n v="8"/>
    <n v="8"/>
    <s v="NO"/>
    <n v="126.67"/>
    <n v="34"/>
    <s v="MALE"/>
    <x v="0"/>
    <x v="0"/>
    <n v="126.67"/>
    <x v="0"/>
    <s v="OK"/>
    <x v="1"/>
    <n v="10"/>
    <x v="1"/>
  </r>
  <r>
    <s v="CUST0433"/>
    <x v="0"/>
    <n v="7"/>
    <n v="5"/>
    <s v="Y"/>
    <n v="85.86"/>
    <n v="37"/>
    <s v="PREFER NOT TO SAY"/>
    <x v="1"/>
    <x v="2"/>
    <n v="85.86"/>
    <x v="0"/>
    <s v="OK"/>
    <x v="1"/>
    <n v="5"/>
    <x v="1"/>
  </r>
  <r>
    <s v="CUST0451"/>
    <x v="4"/>
    <n v="10"/>
    <n v="3"/>
    <s v="NO"/>
    <n v="151.79"/>
    <n v="26"/>
    <s v="OTHER"/>
    <x v="0"/>
    <x v="2"/>
    <n v="151.79"/>
    <x v="0"/>
    <s v="OK"/>
    <x v="2"/>
    <n v="7"/>
    <x v="1"/>
  </r>
  <r>
    <s v="CUST0390"/>
    <x v="0"/>
    <n v="4"/>
    <n v="2"/>
    <s v="YES"/>
    <n v="100.03"/>
    <n v="27"/>
    <s v="OTHER"/>
    <x v="1"/>
    <x v="2"/>
    <n v="100.03"/>
    <x v="0"/>
    <s v="OK"/>
    <x v="2"/>
    <n v="5"/>
    <x v="1"/>
  </r>
  <r>
    <s v="CUST0088"/>
    <x v="0"/>
    <n v="10"/>
    <n v="5"/>
    <s v="YES"/>
    <n v="100.49"/>
    <n v="27"/>
    <s v="F"/>
    <x v="1"/>
    <x v="1"/>
    <n v="100.49"/>
    <x v="0"/>
    <s v="OK"/>
    <x v="2"/>
    <n v="5"/>
    <x v="1"/>
  </r>
  <r>
    <s v="CUST0502"/>
    <x v="0"/>
    <n v="6"/>
    <n v="6"/>
    <s v="NO"/>
    <n v="75.28"/>
    <n v="42"/>
    <s v="M"/>
    <x v="0"/>
    <x v="0"/>
    <n v="75.28"/>
    <x v="0"/>
    <s v="OK"/>
    <x v="1"/>
    <n v="5"/>
    <x v="0"/>
  </r>
  <r>
    <s v="CUST0199"/>
    <x v="0"/>
    <n v="7"/>
    <n v="6"/>
    <s v="NO"/>
    <n v="157.87"/>
    <n v="38"/>
    <s v="FEMALE"/>
    <x v="0"/>
    <x v="1"/>
    <n v="157.87"/>
    <x v="0"/>
    <s v="OK"/>
    <x v="1"/>
    <n v="5"/>
    <x v="0"/>
  </r>
  <r>
    <s v="CUST0519"/>
    <x v="1"/>
    <n v="7"/>
    <n v="5"/>
    <s v="NAN"/>
    <n v="10.16"/>
    <n v="20"/>
    <s v="M"/>
    <x v="2"/>
    <x v="0"/>
    <n v="10.16"/>
    <x v="0"/>
    <s v="OK"/>
    <x v="2"/>
    <n v="10"/>
    <x v="1"/>
  </r>
  <r>
    <s v="CUST0578"/>
    <x v="4"/>
    <m/>
    <n v="6"/>
    <s v="YES"/>
    <n v="72.03"/>
    <n v="43"/>
    <s v="OTHER"/>
    <x v="1"/>
    <x v="2"/>
    <n v="72.03"/>
    <x v="1"/>
    <s v="OK"/>
    <x v="1"/>
    <n v="7"/>
    <x v="1"/>
  </r>
  <r>
    <s v="CUST0558"/>
    <x v="3"/>
    <n v="7"/>
    <m/>
    <s v=""/>
    <n v="126.59"/>
    <n v="36"/>
    <s v="NAN"/>
    <x v="2"/>
    <x v="2"/>
    <n v="126.59"/>
    <x v="0"/>
    <s v="MISSING DELIVERY STATUS"/>
    <x v="1"/>
    <s v="NA"/>
    <x v="2"/>
  </r>
  <r>
    <s v="CUST0304"/>
    <x v="4"/>
    <n v="8"/>
    <n v="4"/>
    <s v="N"/>
    <n v="135.72"/>
    <n v="55"/>
    <s v="MALE"/>
    <x v="0"/>
    <x v="0"/>
    <n v="135.72"/>
    <x v="0"/>
    <s v="OK"/>
    <x v="1"/>
    <n v="7"/>
    <x v="1"/>
  </r>
  <r>
    <s v="CUST0869"/>
    <x v="2"/>
    <n v="9"/>
    <n v="2"/>
    <s v="Y"/>
    <n v="50.23"/>
    <n v="38"/>
    <s v="NAN"/>
    <x v="1"/>
    <x v="2"/>
    <n v="50.23"/>
    <x v="0"/>
    <s v="OK"/>
    <x v="1"/>
    <n v="7"/>
    <x v="1"/>
  </r>
  <r>
    <s v="CUST0395"/>
    <x v="2"/>
    <m/>
    <n v="2"/>
    <s v="YES"/>
    <n v="46.62"/>
    <n v="0"/>
    <s v="MALE"/>
    <x v="1"/>
    <x v="0"/>
    <n v="46.62"/>
    <x v="1"/>
    <s v="OK"/>
    <x v="4"/>
    <n v="7"/>
    <x v="1"/>
  </r>
  <r>
    <s v="CUST0231"/>
    <x v="4"/>
    <n v="7"/>
    <n v="6"/>
    <s v="YES"/>
    <n v="21751"/>
    <n v="31"/>
    <s v="MALE"/>
    <x v="1"/>
    <x v="0"/>
    <n v="21751"/>
    <x v="0"/>
    <s v="OK"/>
    <x v="1"/>
    <n v="7"/>
    <x v="1"/>
  </r>
  <r>
    <s v="CUST0825"/>
    <x v="1"/>
    <n v="5"/>
    <n v="2"/>
    <s v="NAN"/>
    <n v="104.56"/>
    <n v="16"/>
    <s v="M"/>
    <x v="2"/>
    <x v="0"/>
    <n v="104.56"/>
    <x v="0"/>
    <s v="OK"/>
    <x v="2"/>
    <n v="10"/>
    <x v="1"/>
  </r>
  <r>
    <s v="CUST0364"/>
    <x v="4"/>
    <n v="4"/>
    <n v="7"/>
    <s v="YES"/>
    <n v="48.14"/>
    <n v="35"/>
    <s v="MALE"/>
    <x v="1"/>
    <x v="0"/>
    <n v="48.14"/>
    <x v="0"/>
    <s v="OK"/>
    <x v="1"/>
    <n v="7"/>
    <x v="1"/>
  </r>
  <r>
    <s v="CUST0028"/>
    <x v="3"/>
    <n v="10"/>
    <n v="9"/>
    <s v="N"/>
    <n v="81.73"/>
    <n v="10"/>
    <s v="FEMALE"/>
    <x v="0"/>
    <x v="1"/>
    <n v="81.73"/>
    <x v="0"/>
    <s v="OK"/>
    <x v="4"/>
    <s v="NA"/>
    <x v="2"/>
  </r>
  <r>
    <s v="CUST0621"/>
    <x v="1"/>
    <n v="9"/>
    <n v="5"/>
    <s v="N"/>
    <n v="18.12"/>
    <n v="38"/>
    <s v="MALE"/>
    <x v="0"/>
    <x v="0"/>
    <n v="18.12"/>
    <x v="0"/>
    <s v="OK"/>
    <x v="1"/>
    <n v="10"/>
    <x v="1"/>
  </r>
  <r>
    <s v="CUST0887"/>
    <x v="0"/>
    <n v="5"/>
    <n v="4"/>
    <s v="N"/>
    <n v="94"/>
    <n v="38"/>
    <s v="FEMALE"/>
    <x v="0"/>
    <x v="1"/>
    <n v="94"/>
    <x v="0"/>
    <s v="OK"/>
    <x v="1"/>
    <n v="5"/>
    <x v="1"/>
  </r>
  <r>
    <s v="CUST0229"/>
    <x v="0"/>
    <n v="12"/>
    <n v="5"/>
    <s v="NO"/>
    <n v="132.72999999999999"/>
    <n v="17"/>
    <s v="PREFER NOT TO SAY"/>
    <x v="0"/>
    <x v="2"/>
    <n v="132.72999999999999"/>
    <x v="0"/>
    <s v="OK"/>
    <x v="2"/>
    <n v="5"/>
    <x v="1"/>
  </r>
  <r>
    <s v="CUST0572"/>
    <x v="2"/>
    <n v="8"/>
    <n v="11"/>
    <s v="NAN"/>
    <n v="140.37"/>
    <n v="39"/>
    <s v=""/>
    <x v="2"/>
    <x v="2"/>
    <n v="140.37"/>
    <x v="0"/>
    <s v="OK"/>
    <x v="1"/>
    <n v="7"/>
    <x v="0"/>
  </r>
  <r>
    <s v="CUST0880"/>
    <x v="0"/>
    <n v="4"/>
    <n v="7"/>
    <s v="NAN"/>
    <n v="130.99"/>
    <n v="21"/>
    <s v="FEMALE"/>
    <x v="2"/>
    <x v="1"/>
    <n v="130.99"/>
    <x v="0"/>
    <s v="OK"/>
    <x v="2"/>
    <n v="5"/>
    <x v="0"/>
  </r>
  <r>
    <s v="CUST0323"/>
    <x v="1"/>
    <n v="3"/>
    <m/>
    <s v="Y"/>
    <n v="125.83"/>
    <n v="15"/>
    <s v="M"/>
    <x v="1"/>
    <x v="0"/>
    <n v="125.83"/>
    <x v="0"/>
    <s v="MISSING DELIVERY STATUS"/>
    <x v="2"/>
    <n v="10"/>
    <x v="2"/>
  </r>
  <r>
    <s v="CUST0542"/>
    <x v="4"/>
    <n v="8"/>
    <n v="4"/>
    <s v="Y"/>
    <n v="42.53"/>
    <n v="55"/>
    <s v="F"/>
    <x v="1"/>
    <x v="1"/>
    <n v="42.53"/>
    <x v="0"/>
    <s v="OK"/>
    <x v="1"/>
    <n v="7"/>
    <x v="1"/>
  </r>
  <r>
    <s v="CUST0330"/>
    <x v="1"/>
    <n v="9"/>
    <n v="5"/>
    <s v="YES"/>
    <n v="42.92"/>
    <n v="18"/>
    <s v="PREFER NOT TO SAY"/>
    <x v="1"/>
    <x v="2"/>
    <n v="42.92"/>
    <x v="0"/>
    <s v="OK"/>
    <x v="2"/>
    <n v="10"/>
    <x v="1"/>
  </r>
  <r>
    <s v="CUST0152"/>
    <x v="2"/>
    <n v="6"/>
    <n v="4"/>
    <s v="Y"/>
    <n v="121.67"/>
    <n v="32"/>
    <s v="NAN"/>
    <x v="1"/>
    <x v="2"/>
    <n v="121.67"/>
    <x v="0"/>
    <s v="OK"/>
    <x v="1"/>
    <n v="7"/>
    <x v="1"/>
  </r>
  <r>
    <s v="CUST0354"/>
    <x v="1"/>
    <n v="9"/>
    <n v="8"/>
    <s v="NAN"/>
    <n v="144.74"/>
    <n v="17"/>
    <s v="M"/>
    <x v="2"/>
    <x v="0"/>
    <n v="144.74"/>
    <x v="0"/>
    <s v="OK"/>
    <x v="2"/>
    <n v="10"/>
    <x v="1"/>
  </r>
  <r>
    <s v="CUST0529"/>
    <x v="3"/>
    <n v="7"/>
    <n v="1"/>
    <s v="NAN"/>
    <n v="149.79"/>
    <n v="52"/>
    <s v="NAN"/>
    <x v="2"/>
    <x v="2"/>
    <n v="149.79"/>
    <x v="0"/>
    <s v="OK"/>
    <x v="1"/>
    <s v="NA"/>
    <x v="2"/>
  </r>
  <r>
    <s v="CUST0299"/>
    <x v="0"/>
    <n v="5"/>
    <n v="3"/>
    <s v="NAN"/>
    <n v="133.66"/>
    <n v="0"/>
    <s v="OTHER"/>
    <x v="2"/>
    <x v="2"/>
    <n v="133.66"/>
    <x v="0"/>
    <s v="OK"/>
    <x v="4"/>
    <n v="5"/>
    <x v="1"/>
  </r>
  <r>
    <s v="CUST0069"/>
    <x v="1"/>
    <n v="6"/>
    <m/>
    <s v="YES"/>
    <n v="116.57"/>
    <n v="36"/>
    <s v="PREFER NOT TO SAY"/>
    <x v="1"/>
    <x v="2"/>
    <n v="116.57"/>
    <x v="0"/>
    <s v="MISSING DELIVERY STATUS"/>
    <x v="1"/>
    <n v="10"/>
    <x v="2"/>
  </r>
  <r>
    <s v="CUST0961"/>
    <x v="0"/>
    <n v="2"/>
    <n v="4"/>
    <s v="N"/>
    <n v="74.819999999999993"/>
    <n v="25"/>
    <s v="MALE"/>
    <x v="0"/>
    <x v="0"/>
    <n v="74.819999999999993"/>
    <x v="0"/>
    <s v="OK"/>
    <x v="2"/>
    <n v="5"/>
    <x v="1"/>
  </r>
  <r>
    <s v="CUST0700"/>
    <x v="2"/>
    <n v="8"/>
    <n v="3"/>
    <s v="N"/>
    <n v="88.61"/>
    <n v="48"/>
    <s v="M"/>
    <x v="0"/>
    <x v="0"/>
    <n v="88.61"/>
    <x v="0"/>
    <s v="OK"/>
    <x v="1"/>
    <n v="7"/>
    <x v="1"/>
  </r>
  <r>
    <s v="CUST0973"/>
    <x v="0"/>
    <n v="4"/>
    <n v="1"/>
    <s v="NO"/>
    <n v="80.98"/>
    <n v="45"/>
    <s v="PREFER NOT TO SAY"/>
    <x v="0"/>
    <x v="2"/>
    <n v="80.98"/>
    <x v="0"/>
    <s v="OK"/>
    <x v="1"/>
    <n v="5"/>
    <x v="1"/>
  </r>
  <r>
    <s v="CUST0941"/>
    <x v="1"/>
    <n v="5"/>
    <n v="3"/>
    <s v="YES"/>
    <n v="178.49"/>
    <n v="22"/>
    <s v="FEMALE"/>
    <x v="1"/>
    <x v="1"/>
    <n v="178.49"/>
    <x v="0"/>
    <s v="OK"/>
    <x v="2"/>
    <n v="10"/>
    <x v="1"/>
  </r>
  <r>
    <s v="CUST0810"/>
    <x v="0"/>
    <n v="8"/>
    <n v="4"/>
    <s v="NO"/>
    <n v="78.69"/>
    <n v="31"/>
    <s v="M"/>
    <x v="0"/>
    <x v="0"/>
    <n v="78.69"/>
    <x v="0"/>
    <s v="OK"/>
    <x v="1"/>
    <n v="5"/>
    <x v="1"/>
  </r>
  <r>
    <s v="CUST0977"/>
    <x v="1"/>
    <n v="7"/>
    <n v="2"/>
    <s v="NO"/>
    <n v="37.53"/>
    <n v="50"/>
    <s v="MALE"/>
    <x v="0"/>
    <x v="0"/>
    <n v="37.53"/>
    <x v="0"/>
    <s v="OK"/>
    <x v="1"/>
    <n v="10"/>
    <x v="1"/>
  </r>
  <r>
    <s v="CUST0531"/>
    <x v="0"/>
    <n v="8"/>
    <n v="3"/>
    <s v="Y"/>
    <n v="7.7"/>
    <n v="26"/>
    <s v="NAN"/>
    <x v="1"/>
    <x v="2"/>
    <n v="7.7"/>
    <x v="0"/>
    <s v="OK"/>
    <x v="2"/>
    <n v="5"/>
    <x v="1"/>
  </r>
  <r>
    <s v="CUST0986"/>
    <x v="4"/>
    <n v="10"/>
    <n v="4"/>
    <s v="N"/>
    <n v="83.14"/>
    <n v="13"/>
    <s v="MALE"/>
    <x v="0"/>
    <x v="0"/>
    <n v="83.14"/>
    <x v="0"/>
    <s v="OK"/>
    <x v="4"/>
    <n v="7"/>
    <x v="1"/>
  </r>
  <r>
    <s v="CUST0188"/>
    <x v="2"/>
    <n v="7"/>
    <n v="2"/>
    <s v="NAN"/>
    <n v="68.489999999999995"/>
    <n v="67"/>
    <s v="NAN"/>
    <x v="2"/>
    <x v="2"/>
    <n v="68.489999999999995"/>
    <x v="0"/>
    <s v="OK"/>
    <x v="3"/>
    <n v="7"/>
    <x v="1"/>
  </r>
  <r>
    <s v="CUST0930"/>
    <x v="0"/>
    <n v="4"/>
    <n v="6"/>
    <s v="Y"/>
    <n v="75.38"/>
    <n v="34"/>
    <s v="PREFER NOT TO SAY"/>
    <x v="1"/>
    <x v="2"/>
    <n v="75.38"/>
    <x v="0"/>
    <s v="OK"/>
    <x v="1"/>
    <n v="5"/>
    <x v="0"/>
  </r>
  <r>
    <s v="CUST0156"/>
    <x v="4"/>
    <n v="5"/>
    <n v="9"/>
    <s v="NO"/>
    <n v="74.069999999999993"/>
    <n v="61"/>
    <s v="F"/>
    <x v="0"/>
    <x v="1"/>
    <n v="74.069999999999993"/>
    <x v="0"/>
    <s v="OK"/>
    <x v="3"/>
    <n v="7"/>
    <x v="0"/>
  </r>
  <r>
    <s v="CUST0120"/>
    <x v="0"/>
    <n v="6"/>
    <n v="4"/>
    <s v="NAN"/>
    <n v="135.76"/>
    <n v="40"/>
    <s v="FEMALE"/>
    <x v="2"/>
    <x v="1"/>
    <n v="135.76"/>
    <x v="0"/>
    <s v="OK"/>
    <x v="1"/>
    <n v="5"/>
    <x v="1"/>
  </r>
  <r>
    <s v="CUST0845"/>
    <x v="0"/>
    <n v="6"/>
    <n v="4"/>
    <s v=""/>
    <n v="149.83000000000001"/>
    <n v="28"/>
    <s v="M"/>
    <x v="2"/>
    <x v="0"/>
    <n v="149.83000000000001"/>
    <x v="0"/>
    <s v="OK"/>
    <x v="2"/>
    <n v="5"/>
    <x v="1"/>
  </r>
  <r>
    <s v="CUST0089"/>
    <x v="1"/>
    <n v="10"/>
    <n v="3"/>
    <s v="YES"/>
    <n v="203.78"/>
    <n v="10"/>
    <s v="MALE"/>
    <x v="1"/>
    <x v="0"/>
    <n v="203.78"/>
    <x v="0"/>
    <s v="OK"/>
    <x v="4"/>
    <n v="10"/>
    <x v="1"/>
  </r>
  <r>
    <s v="CUST0602"/>
    <x v="1"/>
    <n v="9"/>
    <n v="6"/>
    <s v="NO"/>
    <n v="93.21"/>
    <n v="56"/>
    <s v="MALE"/>
    <x v="0"/>
    <x v="0"/>
    <n v="93.21"/>
    <x v="0"/>
    <s v="OK"/>
    <x v="1"/>
    <n v="10"/>
    <x v="1"/>
  </r>
  <r>
    <s v="CUST0691"/>
    <x v="4"/>
    <n v="4"/>
    <n v="6"/>
    <s v="NO"/>
    <n v="86.89"/>
    <n v="37"/>
    <s v="MALE"/>
    <x v="0"/>
    <x v="0"/>
    <n v="86.89"/>
    <x v="0"/>
    <s v="OK"/>
    <x v="1"/>
    <n v="7"/>
    <x v="1"/>
  </r>
  <r>
    <s v="CUST0086"/>
    <x v="2"/>
    <n v="2"/>
    <n v="4"/>
    <s v="Y"/>
    <n v="124.24"/>
    <n v="38"/>
    <s v="FEMALE"/>
    <x v="1"/>
    <x v="1"/>
    <n v="124.24"/>
    <x v="0"/>
    <s v="OK"/>
    <x v="1"/>
    <n v="7"/>
    <x v="1"/>
  </r>
  <r>
    <s v="CUST0651"/>
    <x v="2"/>
    <n v="5"/>
    <n v="6"/>
    <s v="Y"/>
    <n v="7013"/>
    <n v="42"/>
    <s v="OTHER"/>
    <x v="1"/>
    <x v="2"/>
    <n v="7013"/>
    <x v="0"/>
    <s v="OK"/>
    <x v="1"/>
    <n v="7"/>
    <x v="1"/>
  </r>
  <r>
    <s v="CUST0103"/>
    <x v="4"/>
    <n v="10"/>
    <n v="2"/>
    <s v="NO"/>
    <n v="44.78"/>
    <n v="17"/>
    <s v="FEMALE"/>
    <x v="0"/>
    <x v="1"/>
    <n v="44.78"/>
    <x v="0"/>
    <s v="OK"/>
    <x v="2"/>
    <n v="7"/>
    <x v="1"/>
  </r>
  <r>
    <s v="CUST0804"/>
    <x v="0"/>
    <n v="5"/>
    <n v="6"/>
    <s v="Y"/>
    <n v="69.239999999999995"/>
    <n v="33"/>
    <s v="PREFER NOT TO SAY"/>
    <x v="1"/>
    <x v="2"/>
    <n v="69.239999999999995"/>
    <x v="0"/>
    <s v="OK"/>
    <x v="1"/>
    <n v="5"/>
    <x v="0"/>
  </r>
  <r>
    <s v="CUST0493"/>
    <x v="0"/>
    <n v="7"/>
    <n v="2"/>
    <s v=""/>
    <n v="171.29"/>
    <n v="19"/>
    <s v=""/>
    <x v="2"/>
    <x v="2"/>
    <n v="171.29"/>
    <x v="0"/>
    <s v="OK"/>
    <x v="2"/>
    <n v="5"/>
    <x v="1"/>
  </r>
  <r>
    <s v="CUST0024"/>
    <x v="1"/>
    <n v="8"/>
    <n v="4"/>
    <s v="YES"/>
    <n v="39.299999999999997"/>
    <n v="33"/>
    <s v="OTHER"/>
    <x v="1"/>
    <x v="2"/>
    <n v="39.299999999999997"/>
    <x v="0"/>
    <s v="OK"/>
    <x v="1"/>
    <n v="10"/>
    <x v="1"/>
  </r>
  <r>
    <s v="CUST0205"/>
    <x v="1"/>
    <n v="7"/>
    <n v="3"/>
    <s v="N"/>
    <n v="40.01"/>
    <n v="39"/>
    <s v="MALE"/>
    <x v="0"/>
    <x v="0"/>
    <n v="40.01"/>
    <x v="0"/>
    <s v="OK"/>
    <x v="1"/>
    <n v="10"/>
    <x v="1"/>
  </r>
  <r>
    <s v="CUST0114"/>
    <x v="3"/>
    <m/>
    <n v="6"/>
    <s v="YES"/>
    <n v="18.760000000000002"/>
    <n v="38"/>
    <s v="F"/>
    <x v="1"/>
    <x v="1"/>
    <n v="18.760000000000002"/>
    <x v="1"/>
    <s v="OK"/>
    <x v="1"/>
    <s v="NA"/>
    <x v="2"/>
  </r>
  <r>
    <s v="CUST0889"/>
    <x v="1"/>
    <n v="9"/>
    <m/>
    <s v="Y"/>
    <n v="101.7"/>
    <n v="47"/>
    <s v="FEMALE"/>
    <x v="1"/>
    <x v="1"/>
    <n v="101.7"/>
    <x v="0"/>
    <s v="MISSING DELIVERY STATUS"/>
    <x v="1"/>
    <n v="10"/>
    <x v="2"/>
  </r>
  <r>
    <s v="CUST0009"/>
    <x v="2"/>
    <n v="9"/>
    <n v="4"/>
    <s v="Y"/>
    <n v="167.7"/>
    <n v="42"/>
    <s v="F"/>
    <x v="1"/>
    <x v="1"/>
    <n v="167.7"/>
    <x v="0"/>
    <s v="OK"/>
    <x v="1"/>
    <n v="7"/>
    <x v="1"/>
  </r>
  <r>
    <s v="CUST0257"/>
    <x v="2"/>
    <n v="6"/>
    <n v="5"/>
    <s v="Y"/>
    <n v="57.98"/>
    <n v="33"/>
    <s v="PREFER NOT TO SAY"/>
    <x v="1"/>
    <x v="2"/>
    <n v="57.98"/>
    <x v="0"/>
    <s v="OK"/>
    <x v="1"/>
    <n v="7"/>
    <x v="1"/>
  </r>
  <r>
    <s v="CUST0302"/>
    <x v="0"/>
    <n v="6"/>
    <n v="5"/>
    <s v="NAN"/>
    <n v="40.700000000000003"/>
    <n v="34"/>
    <s v="PREFER NOT TO SAY"/>
    <x v="2"/>
    <x v="2"/>
    <n v="40.700000000000003"/>
    <x v="0"/>
    <s v="OK"/>
    <x v="1"/>
    <n v="5"/>
    <x v="1"/>
  </r>
  <r>
    <s v="CUST0658"/>
    <x v="2"/>
    <n v="7"/>
    <n v="5"/>
    <s v="YES"/>
    <n v="114.1"/>
    <n v="41"/>
    <s v="NAN"/>
    <x v="1"/>
    <x v="2"/>
    <n v="114.1"/>
    <x v="0"/>
    <s v="OK"/>
    <x v="1"/>
    <n v="7"/>
    <x v="1"/>
  </r>
  <r>
    <s v="CUST0031"/>
    <x v="0"/>
    <n v="10"/>
    <n v="5"/>
    <s v="YES"/>
    <n v="220.5"/>
    <n v="33"/>
    <s v="OTHER"/>
    <x v="1"/>
    <x v="2"/>
    <n v="220.5"/>
    <x v="0"/>
    <s v="OK"/>
    <x v="1"/>
    <n v="5"/>
    <x v="1"/>
  </r>
  <r>
    <s v="CUST0911"/>
    <x v="2"/>
    <n v="9"/>
    <n v="6"/>
    <s v="Y"/>
    <n v="28.94"/>
    <n v="39"/>
    <s v="PREFER NOT TO SAY"/>
    <x v="1"/>
    <x v="2"/>
    <n v="28.94"/>
    <x v="0"/>
    <s v="OK"/>
    <x v="1"/>
    <n v="7"/>
    <x v="1"/>
  </r>
  <r>
    <s v="GUEST"/>
    <x v="1"/>
    <n v="7"/>
    <m/>
    <s v="NO"/>
    <n v="109.36"/>
    <n v="39"/>
    <s v="FEMALE"/>
    <x v="0"/>
    <x v="1"/>
    <n v="109.36"/>
    <x v="0"/>
    <s v="MISSING DELIVERY STATUS"/>
    <x v="1"/>
    <n v="10"/>
    <x v="2"/>
  </r>
  <r>
    <s v="CUST0127"/>
    <x v="4"/>
    <n v="7"/>
    <n v="4"/>
    <s v="YES"/>
    <n v="123.34"/>
    <n v="52"/>
    <s v="OTHER"/>
    <x v="1"/>
    <x v="2"/>
    <n v="123.34"/>
    <x v="0"/>
    <s v="OK"/>
    <x v="1"/>
    <n v="7"/>
    <x v="1"/>
  </r>
  <r>
    <s v="CUST0662"/>
    <x v="2"/>
    <n v="4"/>
    <n v="5"/>
    <s v="NAN"/>
    <n v="46.5"/>
    <n v="31"/>
    <s v="FEMALE"/>
    <x v="2"/>
    <x v="1"/>
    <n v="46.5"/>
    <x v="0"/>
    <s v="OK"/>
    <x v="1"/>
    <n v="7"/>
    <x v="1"/>
  </r>
  <r>
    <s v="GUEST"/>
    <x v="1"/>
    <n v="8"/>
    <n v="5"/>
    <s v="YES"/>
    <n v="195.08"/>
    <n v="51"/>
    <s v="OTHER"/>
    <x v="1"/>
    <x v="2"/>
    <n v="195.08"/>
    <x v="0"/>
    <s v="OK"/>
    <x v="1"/>
    <n v="10"/>
    <x v="1"/>
  </r>
  <r>
    <s v="CUST0160"/>
    <x v="1"/>
    <n v="5"/>
    <n v="6"/>
    <s v="N"/>
    <n v="57.43"/>
    <n v="11"/>
    <s v="M"/>
    <x v="0"/>
    <x v="0"/>
    <n v="57.43"/>
    <x v="0"/>
    <s v="OK"/>
    <x v="4"/>
    <n v="10"/>
    <x v="1"/>
  </r>
  <r>
    <s v="GUEST"/>
    <x v="1"/>
    <n v="3"/>
    <n v="5"/>
    <s v="Y"/>
    <n v="58.44"/>
    <n v="28"/>
    <s v="F"/>
    <x v="1"/>
    <x v="1"/>
    <n v="58.44"/>
    <x v="0"/>
    <s v="OK"/>
    <x v="2"/>
    <n v="10"/>
    <x v="1"/>
  </r>
  <r>
    <s v="CUST0027"/>
    <x v="4"/>
    <n v="4"/>
    <n v="6"/>
    <s v=""/>
    <n v="158.58000000000001"/>
    <n v="31"/>
    <s v="F"/>
    <x v="2"/>
    <x v="1"/>
    <n v="158.58000000000001"/>
    <x v="0"/>
    <s v="OK"/>
    <x v="1"/>
    <n v="7"/>
    <x v="1"/>
  </r>
  <r>
    <s v="CUST0972"/>
    <x v="3"/>
    <n v="8"/>
    <m/>
    <s v="N"/>
    <n v="26.2"/>
    <n v="15"/>
    <s v="MALE"/>
    <x v="0"/>
    <x v="0"/>
    <n v="26.2"/>
    <x v="0"/>
    <s v="MISSING DELIVERY STATUS"/>
    <x v="2"/>
    <s v="NA"/>
    <x v="2"/>
  </r>
  <r>
    <s v="CUST0357"/>
    <x v="4"/>
    <n v="6"/>
    <n v="5"/>
    <s v=""/>
    <n v="181.16"/>
    <n v="26"/>
    <s v="NAN"/>
    <x v="2"/>
    <x v="2"/>
    <n v="181.16"/>
    <x v="0"/>
    <s v="OK"/>
    <x v="2"/>
    <n v="7"/>
    <x v="1"/>
  </r>
  <r>
    <s v="CUST0609"/>
    <x v="1"/>
    <n v="5"/>
    <n v="6"/>
    <s v="N"/>
    <n v="63.62"/>
    <n v="41"/>
    <s v="NAN"/>
    <x v="0"/>
    <x v="2"/>
    <n v="63.62"/>
    <x v="0"/>
    <s v="OK"/>
    <x v="1"/>
    <n v="10"/>
    <x v="1"/>
  </r>
  <r>
    <s v="CUST0147"/>
    <x v="2"/>
    <n v="7"/>
    <n v="6"/>
    <s v="N"/>
    <n v="29.18"/>
    <n v="53"/>
    <s v="PREFER NOT TO SAY"/>
    <x v="0"/>
    <x v="2"/>
    <n v="29.18"/>
    <x v="0"/>
    <s v="OK"/>
    <x v="1"/>
    <n v="7"/>
    <x v="1"/>
  </r>
  <r>
    <s v="CUST0676"/>
    <x v="0"/>
    <n v="1"/>
    <n v="5"/>
    <s v="NO"/>
    <n v="13.37"/>
    <n v="39"/>
    <s v="M"/>
    <x v="0"/>
    <x v="0"/>
    <n v="13.37"/>
    <x v="0"/>
    <s v="OK"/>
    <x v="1"/>
    <n v="5"/>
    <x v="1"/>
  </r>
  <r>
    <s v="CUST0288"/>
    <x v="0"/>
    <n v="6"/>
    <n v="3"/>
    <s v="YES"/>
    <n v="132.75"/>
    <n v="36"/>
    <s v="F"/>
    <x v="1"/>
    <x v="1"/>
    <n v="132.75"/>
    <x v="0"/>
    <s v="OK"/>
    <x v="1"/>
    <n v="5"/>
    <x v="1"/>
  </r>
  <r>
    <s v="CUST0281"/>
    <x v="1"/>
    <m/>
    <n v="3"/>
    <s v="NO"/>
    <n v="87.91"/>
    <n v="60"/>
    <s v="NAN"/>
    <x v="0"/>
    <x v="2"/>
    <n v="87.91"/>
    <x v="1"/>
    <s v="OK"/>
    <x v="3"/>
    <n v="10"/>
    <x v="1"/>
  </r>
  <r>
    <s v="CUST0184"/>
    <x v="2"/>
    <m/>
    <n v="4"/>
    <s v="Y"/>
    <n v="54.65"/>
    <n v="50"/>
    <s v="NAN"/>
    <x v="1"/>
    <x v="2"/>
    <n v="54.65"/>
    <x v="1"/>
    <s v="OK"/>
    <x v="1"/>
    <n v="7"/>
    <x v="1"/>
  </r>
  <r>
    <s v="CUST0654"/>
    <x v="0"/>
    <n v="9"/>
    <n v="1"/>
    <s v="NO"/>
    <n v="179.96"/>
    <n v="24"/>
    <s v="OTHER"/>
    <x v="0"/>
    <x v="2"/>
    <n v="179.96"/>
    <x v="0"/>
    <s v="OK"/>
    <x v="2"/>
    <n v="5"/>
    <x v="1"/>
  </r>
  <r>
    <s v="CUST0018"/>
    <x v="1"/>
    <n v="7"/>
    <n v="6"/>
    <s v="NAN"/>
    <n v="63.36"/>
    <n v="29"/>
    <s v="OTHER"/>
    <x v="2"/>
    <x v="2"/>
    <n v="63.36"/>
    <x v="0"/>
    <s v="OK"/>
    <x v="2"/>
    <n v="10"/>
    <x v="1"/>
  </r>
  <r>
    <s v="CUST0077"/>
    <x v="1"/>
    <m/>
    <n v="5"/>
    <s v="N"/>
    <n v="94.57"/>
    <n v="38"/>
    <s v="OTHER"/>
    <x v="0"/>
    <x v="2"/>
    <n v="94.57"/>
    <x v="1"/>
    <s v="OK"/>
    <x v="1"/>
    <n v="10"/>
    <x v="1"/>
  </r>
  <r>
    <s v="CUST0987"/>
    <x v="1"/>
    <n v="4"/>
    <n v="5"/>
    <s v="YES"/>
    <n v="60.94"/>
    <n v="39"/>
    <s v="MALE"/>
    <x v="1"/>
    <x v="0"/>
    <n v="60.94"/>
    <x v="0"/>
    <s v="OK"/>
    <x v="1"/>
    <n v="10"/>
    <x v="1"/>
  </r>
  <r>
    <s v="CUST0822"/>
    <x v="1"/>
    <n v="6"/>
    <n v="6"/>
    <s v="N"/>
    <n v="83.29"/>
    <n v="49"/>
    <s v="OTHER"/>
    <x v="0"/>
    <x v="2"/>
    <n v="83.29"/>
    <x v="0"/>
    <s v="OK"/>
    <x v="1"/>
    <n v="10"/>
    <x v="1"/>
  </r>
  <r>
    <s v="CUST0060"/>
    <x v="0"/>
    <n v="8"/>
    <n v="4"/>
    <s v="N"/>
    <n v="106.89"/>
    <n v="42"/>
    <s v="NAN"/>
    <x v="0"/>
    <x v="2"/>
    <n v="106.89"/>
    <x v="0"/>
    <s v="OK"/>
    <x v="1"/>
    <n v="5"/>
    <x v="1"/>
  </r>
  <r>
    <s v="CUST0891"/>
    <x v="2"/>
    <n v="12"/>
    <n v="6"/>
    <s v="NO"/>
    <n v="38.33"/>
    <n v="0"/>
    <s v="FEMALE"/>
    <x v="0"/>
    <x v="1"/>
    <n v="38.33"/>
    <x v="0"/>
    <s v="OK"/>
    <x v="4"/>
    <n v="7"/>
    <x v="1"/>
  </r>
  <r>
    <s v="CUST0534"/>
    <x v="0"/>
    <n v="7"/>
    <n v="4"/>
    <s v="NO"/>
    <n v="169.54"/>
    <n v="49"/>
    <s v="OTHER"/>
    <x v="0"/>
    <x v="2"/>
    <n v="169.54"/>
    <x v="0"/>
    <s v="OK"/>
    <x v="1"/>
    <n v="5"/>
    <x v="1"/>
  </r>
  <r>
    <s v="CUST0174"/>
    <x v="1"/>
    <n v="6"/>
    <n v="4"/>
    <s v="N"/>
    <n v="74.31"/>
    <n v="27"/>
    <s v="MALE"/>
    <x v="0"/>
    <x v="0"/>
    <n v="74.31"/>
    <x v="0"/>
    <s v="OK"/>
    <x v="2"/>
    <n v="10"/>
    <x v="1"/>
  </r>
  <r>
    <s v="CUST0849"/>
    <x v="2"/>
    <n v="5"/>
    <n v="3"/>
    <s v="NAN"/>
    <n v="101.19"/>
    <n v="54"/>
    <s v="MALE"/>
    <x v="2"/>
    <x v="0"/>
    <n v="101.19"/>
    <x v="0"/>
    <s v="OK"/>
    <x v="1"/>
    <n v="7"/>
    <x v="1"/>
  </r>
  <r>
    <s v="CUST0752"/>
    <x v="3"/>
    <n v="5"/>
    <n v="8"/>
    <s v="NAN"/>
    <n v="137.96"/>
    <n v="38"/>
    <s v="OTHER"/>
    <x v="2"/>
    <x v="2"/>
    <n v="137.96"/>
    <x v="0"/>
    <s v="OK"/>
    <x v="1"/>
    <s v="NA"/>
    <x v="2"/>
  </r>
  <r>
    <s v="CUST0612"/>
    <x v="4"/>
    <n v="8"/>
    <n v="3"/>
    <s v="Y"/>
    <n v="63.27"/>
    <n v="42"/>
    <s v="FEMALE"/>
    <x v="1"/>
    <x v="1"/>
    <n v="63.27"/>
    <x v="0"/>
    <s v="OK"/>
    <x v="1"/>
    <n v="7"/>
    <x v="1"/>
  </r>
  <r>
    <s v="CUST0854"/>
    <x v="2"/>
    <n v="10"/>
    <n v="6"/>
    <s v="N"/>
    <n v="37.340000000000003"/>
    <n v="44"/>
    <s v="MALE"/>
    <x v="0"/>
    <x v="0"/>
    <n v="37.340000000000003"/>
    <x v="0"/>
    <s v="OK"/>
    <x v="1"/>
    <n v="7"/>
    <x v="1"/>
  </r>
  <r>
    <s v="CUST0533"/>
    <x v="0"/>
    <n v="6"/>
    <n v="5"/>
    <s v="NO"/>
    <n v="109.24"/>
    <n v="21"/>
    <s v="MALE"/>
    <x v="0"/>
    <x v="0"/>
    <n v="109.24"/>
    <x v="0"/>
    <s v="OK"/>
    <x v="2"/>
    <n v="5"/>
    <x v="1"/>
  </r>
  <r>
    <s v="GUEST"/>
    <x v="2"/>
    <n v="7"/>
    <n v="8"/>
    <s v="YES"/>
    <n v="64.97"/>
    <n v="52"/>
    <s v="PREFER NOT TO SAY"/>
    <x v="1"/>
    <x v="2"/>
    <n v="64.97"/>
    <x v="0"/>
    <s v="OK"/>
    <x v="1"/>
    <n v="7"/>
    <x v="0"/>
  </r>
  <r>
    <s v="CUST0543"/>
    <x v="2"/>
    <n v="10"/>
    <n v="7"/>
    <s v="Y"/>
    <n v="62.18"/>
    <n v="40"/>
    <s v="PREFER NOT TO SAY"/>
    <x v="1"/>
    <x v="2"/>
    <n v="62.18"/>
    <x v="0"/>
    <s v="OK"/>
    <x v="1"/>
    <n v="7"/>
    <x v="1"/>
  </r>
  <r>
    <s v="CUST0594"/>
    <x v="1"/>
    <n v="9"/>
    <n v="6"/>
    <s v="NAN"/>
    <n v="106.61"/>
    <n v="26"/>
    <s v="NAN"/>
    <x v="2"/>
    <x v="2"/>
    <n v="106.61"/>
    <x v="0"/>
    <s v="OK"/>
    <x v="2"/>
    <n v="10"/>
    <x v="1"/>
  </r>
  <r>
    <s v="CUST0882"/>
    <x v="4"/>
    <n v="5"/>
    <n v="6"/>
    <s v="NO"/>
    <n v="79.569999999999993"/>
    <n v="33"/>
    <s v="NAN"/>
    <x v="0"/>
    <x v="2"/>
    <n v="79.569999999999993"/>
    <x v="0"/>
    <s v="OK"/>
    <x v="1"/>
    <n v="7"/>
    <x v="1"/>
  </r>
  <r>
    <s v="CUST0518"/>
    <x v="4"/>
    <n v="10"/>
    <n v="6"/>
    <s v="YES"/>
    <n v="72.89"/>
    <n v="51"/>
    <s v="NAN"/>
    <x v="1"/>
    <x v="2"/>
    <n v="72.89"/>
    <x v="0"/>
    <s v="OK"/>
    <x v="1"/>
    <n v="7"/>
    <x v="1"/>
  </r>
  <r>
    <s v="CUST0475"/>
    <x v="2"/>
    <n v="7"/>
    <n v="5"/>
    <s v="N"/>
    <n v="141.82"/>
    <n v="51"/>
    <s v="M"/>
    <x v="0"/>
    <x v="0"/>
    <n v="141.82"/>
    <x v="0"/>
    <s v="OK"/>
    <x v="1"/>
    <n v="7"/>
    <x v="1"/>
  </r>
  <r>
    <s v="CUST0202"/>
    <x v="1"/>
    <n v="5"/>
    <n v="4"/>
    <s v="YES"/>
    <n v="66.03"/>
    <n v="36"/>
    <s v="PREFER NOT TO SAY"/>
    <x v="1"/>
    <x v="2"/>
    <n v="66.03"/>
    <x v="0"/>
    <s v="OK"/>
    <x v="1"/>
    <n v="10"/>
    <x v="1"/>
  </r>
  <r>
    <s v="CUST0756"/>
    <x v="4"/>
    <n v="10"/>
    <n v="5"/>
    <s v="N"/>
    <n v="15.37"/>
    <n v="62"/>
    <s v="M"/>
    <x v="0"/>
    <x v="0"/>
    <n v="15.37"/>
    <x v="0"/>
    <s v="OK"/>
    <x v="3"/>
    <n v="7"/>
    <x v="1"/>
  </r>
  <r>
    <s v="CUST0739"/>
    <x v="0"/>
    <n v="10"/>
    <n v="5"/>
    <s v="N"/>
    <n v="195.16"/>
    <n v="23"/>
    <s v="MALE"/>
    <x v="0"/>
    <x v="0"/>
    <n v="195.16"/>
    <x v="0"/>
    <s v="OK"/>
    <x v="2"/>
    <n v="5"/>
    <x v="1"/>
  </r>
  <r>
    <s v="CUST0459"/>
    <x v="2"/>
    <n v="7"/>
    <n v="5"/>
    <s v="YES"/>
    <n v="152.26"/>
    <n v="37"/>
    <s v="NAN"/>
    <x v="1"/>
    <x v="2"/>
    <n v="152.26"/>
    <x v="0"/>
    <s v="OK"/>
    <x v="1"/>
    <n v="7"/>
    <x v="1"/>
  </r>
  <r>
    <s v="CUST0704"/>
    <x v="1"/>
    <n v="7"/>
    <n v="8"/>
    <s v="Y"/>
    <n v="81.99"/>
    <n v="30"/>
    <s v="OTHER"/>
    <x v="1"/>
    <x v="2"/>
    <n v="81.99"/>
    <x v="0"/>
    <s v="OK"/>
    <x v="1"/>
    <n v="10"/>
    <x v="1"/>
  </r>
  <r>
    <s v="CUST0180"/>
    <x v="2"/>
    <n v="6"/>
    <n v="4"/>
    <s v="N"/>
    <n v="124.95"/>
    <n v="23"/>
    <s v="F"/>
    <x v="0"/>
    <x v="1"/>
    <n v="124.95"/>
    <x v="0"/>
    <s v="OK"/>
    <x v="2"/>
    <n v="7"/>
    <x v="1"/>
  </r>
  <r>
    <s v="CUST0490"/>
    <x v="0"/>
    <n v="11"/>
    <n v="8"/>
    <s v="YES"/>
    <n v="150.52000000000001"/>
    <n v="15"/>
    <s v="FEMALE"/>
    <x v="1"/>
    <x v="1"/>
    <n v="150.52000000000001"/>
    <x v="0"/>
    <s v="OK"/>
    <x v="2"/>
    <n v="5"/>
    <x v="0"/>
  </r>
  <r>
    <s v="CUST0571"/>
    <x v="4"/>
    <n v="8"/>
    <n v="1"/>
    <s v="YES"/>
    <n v="88.28"/>
    <n v="50"/>
    <s v="MALE"/>
    <x v="1"/>
    <x v="0"/>
    <n v="88.28"/>
    <x v="0"/>
    <s v="OK"/>
    <x v="1"/>
    <n v="7"/>
    <x v="1"/>
  </r>
  <r>
    <s v="CUST0665"/>
    <x v="0"/>
    <n v="6"/>
    <n v="7"/>
    <s v="YES"/>
    <n v="107.86"/>
    <n v="18"/>
    <s v="M"/>
    <x v="1"/>
    <x v="0"/>
    <n v="107.86"/>
    <x v="0"/>
    <s v="OK"/>
    <x v="2"/>
    <n v="5"/>
    <x v="0"/>
  </r>
  <r>
    <s v="CUST0861"/>
    <x v="1"/>
    <n v="7"/>
    <n v="3"/>
    <s v="N"/>
    <n v="110.74"/>
    <n v="28"/>
    <s v="FEMALE"/>
    <x v="0"/>
    <x v="1"/>
    <n v="110.74"/>
    <x v="0"/>
    <s v="OK"/>
    <x v="2"/>
    <n v="10"/>
    <x v="1"/>
  </r>
  <r>
    <s v="GUEST"/>
    <x v="4"/>
    <n v="6"/>
    <n v="0"/>
    <s v="N"/>
    <n v="104.22"/>
    <n v="23"/>
    <s v="F"/>
    <x v="0"/>
    <x v="1"/>
    <n v="104.22"/>
    <x v="0"/>
    <s v="OK"/>
    <x v="2"/>
    <n v="7"/>
    <x v="1"/>
  </r>
  <r>
    <s v="CUST0397"/>
    <x v="1"/>
    <n v="8"/>
    <n v="2"/>
    <s v="NAN"/>
    <n v="50.12"/>
    <n v="36"/>
    <s v="NAN"/>
    <x v="2"/>
    <x v="2"/>
    <n v="50.12"/>
    <x v="0"/>
    <s v="OK"/>
    <x v="1"/>
    <n v="10"/>
    <x v="1"/>
  </r>
  <r>
    <s v="CUST0920"/>
    <x v="1"/>
    <n v="5"/>
    <n v="11"/>
    <s v="NAN"/>
    <n v="16.78"/>
    <n v="35"/>
    <s v="OTHER"/>
    <x v="2"/>
    <x v="2"/>
    <n v="16.78"/>
    <x v="0"/>
    <s v="OK"/>
    <x v="1"/>
    <n v="10"/>
    <x v="0"/>
  </r>
  <r>
    <s v="CUST0645"/>
    <x v="1"/>
    <n v="6"/>
    <n v="7"/>
    <s v="Y"/>
    <n v="125.14"/>
    <m/>
    <s v="F"/>
    <x v="1"/>
    <x v="1"/>
    <n v="125.14"/>
    <x v="0"/>
    <s v="OK"/>
    <x v="0"/>
    <n v="10"/>
    <x v="1"/>
  </r>
  <r>
    <s v="CUST0786"/>
    <x v="0"/>
    <n v="8"/>
    <n v="5"/>
    <s v="YES"/>
    <n v="63.57"/>
    <n v="64"/>
    <s v="F"/>
    <x v="1"/>
    <x v="1"/>
    <n v="63.57"/>
    <x v="0"/>
    <s v="OK"/>
    <x v="3"/>
    <n v="5"/>
    <x v="1"/>
  </r>
  <r>
    <s v="CUST0688"/>
    <x v="0"/>
    <n v="4"/>
    <n v="5"/>
    <s v="NAN"/>
    <n v="188.93"/>
    <n v="6"/>
    <s v="PREFER NOT TO SAY"/>
    <x v="2"/>
    <x v="2"/>
    <n v="188.93"/>
    <x v="0"/>
    <s v="OK"/>
    <x v="4"/>
    <n v="5"/>
    <x v="1"/>
  </r>
  <r>
    <s v="CUST0095"/>
    <x v="4"/>
    <n v="7"/>
    <n v="6"/>
    <s v="NO"/>
    <n v="128.30000000000001"/>
    <n v="36"/>
    <s v="OTHER"/>
    <x v="0"/>
    <x v="2"/>
    <n v="128.30000000000001"/>
    <x v="0"/>
    <s v="OK"/>
    <x v="1"/>
    <n v="7"/>
    <x v="1"/>
  </r>
  <r>
    <s v="CUST0414"/>
    <x v="0"/>
    <n v="7"/>
    <n v="5"/>
    <s v="YES"/>
    <n v="135.44"/>
    <m/>
    <s v="NAN"/>
    <x v="1"/>
    <x v="2"/>
    <n v="135.44"/>
    <x v="0"/>
    <s v="OK"/>
    <x v="0"/>
    <n v="5"/>
    <x v="1"/>
  </r>
  <r>
    <s v="CUST0666"/>
    <x v="0"/>
    <m/>
    <m/>
    <s v="N"/>
    <n v="100.31"/>
    <n v="43"/>
    <s v="PREFER NOT TO SAY"/>
    <x v="0"/>
    <x v="2"/>
    <n v="100.31"/>
    <x v="1"/>
    <s v="MISSING DELIVERY STATUS"/>
    <x v="1"/>
    <n v="5"/>
    <x v="2"/>
  </r>
  <r>
    <s v="CUST0317"/>
    <x v="2"/>
    <n v="6"/>
    <n v="6"/>
    <s v="NAN"/>
    <n v="84.37"/>
    <n v="33"/>
    <s v="F"/>
    <x v="2"/>
    <x v="1"/>
    <n v="84.37"/>
    <x v="0"/>
    <s v="OK"/>
    <x v="1"/>
    <n v="7"/>
    <x v="1"/>
  </r>
  <r>
    <s v="CUST0446"/>
    <x v="2"/>
    <n v="5"/>
    <m/>
    <s v="NO"/>
    <n v="80.05"/>
    <n v="25"/>
    <s v="MALE"/>
    <x v="0"/>
    <x v="0"/>
    <n v="80.05"/>
    <x v="0"/>
    <s v="MISSING DELIVERY STATUS"/>
    <x v="2"/>
    <n v="7"/>
    <x v="2"/>
  </r>
  <r>
    <s v="CUST0225"/>
    <x v="4"/>
    <n v="8"/>
    <n v="4"/>
    <s v="Y"/>
    <n v="88.39"/>
    <n v="43"/>
    <s v="FEMALE"/>
    <x v="1"/>
    <x v="1"/>
    <n v="88.39"/>
    <x v="0"/>
    <s v="OK"/>
    <x v="1"/>
    <n v="7"/>
    <x v="1"/>
  </r>
  <r>
    <s v="CUST0538"/>
    <x v="2"/>
    <n v="6"/>
    <n v="5"/>
    <s v="N"/>
    <n v="140.19999999999999"/>
    <m/>
    <s v="F"/>
    <x v="0"/>
    <x v="1"/>
    <n v="140.19999999999999"/>
    <x v="0"/>
    <s v="OK"/>
    <x v="0"/>
    <n v="7"/>
    <x v="1"/>
  </r>
  <r>
    <s v="CUST0879"/>
    <x v="0"/>
    <n v="7"/>
    <n v="6"/>
    <s v="NAN"/>
    <n v="88.58"/>
    <n v="41"/>
    <s v="FEMALE"/>
    <x v="2"/>
    <x v="1"/>
    <n v="88.58"/>
    <x v="0"/>
    <s v="OK"/>
    <x v="1"/>
    <n v="5"/>
    <x v="0"/>
  </r>
  <r>
    <s v="CUST0596"/>
    <x v="1"/>
    <n v="8"/>
    <n v="2"/>
    <s v="NAN"/>
    <n v="111.75"/>
    <n v="26"/>
    <s v=""/>
    <x v="2"/>
    <x v="2"/>
    <n v="111.75"/>
    <x v="0"/>
    <s v="OK"/>
    <x v="2"/>
    <n v="10"/>
    <x v="1"/>
  </r>
  <r>
    <s v="GUEST"/>
    <x v="2"/>
    <n v="8"/>
    <n v="3"/>
    <s v="NAN"/>
    <n v="161.69"/>
    <n v="24"/>
    <s v="NAN"/>
    <x v="2"/>
    <x v="2"/>
    <n v="161.69"/>
    <x v="0"/>
    <s v="OK"/>
    <x v="2"/>
    <n v="7"/>
    <x v="1"/>
  </r>
  <r>
    <s v="CUST0724"/>
    <x v="0"/>
    <n v="11"/>
    <n v="6"/>
    <s v="YES"/>
    <n v="62.54"/>
    <n v="52"/>
    <s v="OTHER"/>
    <x v="1"/>
    <x v="2"/>
    <n v="62.54"/>
    <x v="0"/>
    <s v="OK"/>
    <x v="1"/>
    <n v="5"/>
    <x v="0"/>
  </r>
  <r>
    <s v="CUST0893"/>
    <x v="0"/>
    <n v="7"/>
    <n v="6"/>
    <s v="YES"/>
    <n v="172.78"/>
    <n v="27"/>
    <s v="PREFER NOT TO SAY"/>
    <x v="1"/>
    <x v="2"/>
    <n v="172.78"/>
    <x v="0"/>
    <s v="OK"/>
    <x v="2"/>
    <n v="5"/>
    <x v="0"/>
  </r>
  <r>
    <s v="GUEST"/>
    <x v="4"/>
    <n v="6"/>
    <n v="9"/>
    <s v="NAN"/>
    <n v="56.75"/>
    <n v="37"/>
    <s v="PREFER NOT TO SAY"/>
    <x v="2"/>
    <x v="2"/>
    <n v="56.75"/>
    <x v="0"/>
    <s v="OK"/>
    <x v="1"/>
    <n v="7"/>
    <x v="0"/>
  </r>
  <r>
    <s v="CUST0080"/>
    <x v="1"/>
    <n v="7"/>
    <n v="6"/>
    <s v="YES"/>
    <n v="37.43"/>
    <n v="24"/>
    <s v="NAN"/>
    <x v="1"/>
    <x v="2"/>
    <n v="37.43"/>
    <x v="0"/>
    <s v="OK"/>
    <x v="2"/>
    <n v="10"/>
    <x v="1"/>
  </r>
  <r>
    <s v="CUST0795"/>
    <x v="3"/>
    <n v="7"/>
    <n v="5"/>
    <s v="NAN"/>
    <n v="116.57"/>
    <n v="61"/>
    <s v="F"/>
    <x v="2"/>
    <x v="1"/>
    <n v="116.57"/>
    <x v="0"/>
    <s v="OK"/>
    <x v="3"/>
    <s v="NA"/>
    <x v="2"/>
  </r>
  <r>
    <s v="CUST0827"/>
    <x v="2"/>
    <n v="6"/>
    <n v="7"/>
    <s v="NAN"/>
    <n v="56.99"/>
    <n v="49"/>
    <s v="OTHER"/>
    <x v="2"/>
    <x v="2"/>
    <n v="56.99"/>
    <x v="0"/>
    <s v="OK"/>
    <x v="1"/>
    <n v="7"/>
    <x v="1"/>
  </r>
  <r>
    <s v="CUST0890"/>
    <x v="0"/>
    <n v="7"/>
    <n v="3"/>
    <s v="N"/>
    <n v="47.91"/>
    <n v="26"/>
    <s v="M"/>
    <x v="0"/>
    <x v="0"/>
    <n v="47.91"/>
    <x v="0"/>
    <s v="OK"/>
    <x v="2"/>
    <n v="5"/>
    <x v="1"/>
  </r>
  <r>
    <s v="CUST0130"/>
    <x v="1"/>
    <n v="9"/>
    <m/>
    <s v="YES"/>
    <n v="54.4"/>
    <n v="73"/>
    <s v="NAN"/>
    <x v="1"/>
    <x v="2"/>
    <n v="54.4"/>
    <x v="0"/>
    <s v="MISSING DELIVERY STATUS"/>
    <x v="3"/>
    <n v="10"/>
    <x v="2"/>
  </r>
  <r>
    <s v="CUST0171"/>
    <x v="1"/>
    <n v="6"/>
    <n v="7"/>
    <s v="N"/>
    <n v="116.8"/>
    <n v="27"/>
    <s v="MALE"/>
    <x v="0"/>
    <x v="0"/>
    <n v="116.8"/>
    <x v="0"/>
    <s v="OK"/>
    <x v="2"/>
    <n v="10"/>
    <x v="1"/>
  </r>
  <r>
    <s v="CUST0046"/>
    <x v="1"/>
    <n v="3"/>
    <n v="7"/>
    <s v="YES"/>
    <n v="72.69"/>
    <n v="27"/>
    <s v="MALE"/>
    <x v="1"/>
    <x v="0"/>
    <n v="72.69"/>
    <x v="0"/>
    <s v="OK"/>
    <x v="2"/>
    <n v="10"/>
    <x v="1"/>
  </r>
  <r>
    <s v="CUST0731"/>
    <x v="2"/>
    <n v="12"/>
    <m/>
    <s v="NO"/>
    <n v="25.54"/>
    <n v="30"/>
    <s v="F"/>
    <x v="0"/>
    <x v="1"/>
    <n v="25.54"/>
    <x v="0"/>
    <s v="MISSING DELIVERY STATUS"/>
    <x v="1"/>
    <n v="7"/>
    <x v="2"/>
  </r>
  <r>
    <s v="CUST0659"/>
    <x v="1"/>
    <n v="7"/>
    <n v="3"/>
    <s v="N"/>
    <n v="107.99"/>
    <n v="21"/>
    <s v="PREFER NOT TO SAY"/>
    <x v="0"/>
    <x v="2"/>
    <n v="107.99"/>
    <x v="0"/>
    <s v="OK"/>
    <x v="2"/>
    <n v="10"/>
    <x v="1"/>
  </r>
  <r>
    <s v="CUST0847"/>
    <x v="4"/>
    <m/>
    <n v="1"/>
    <s v="NO"/>
    <n v="48.87"/>
    <n v="13"/>
    <s v="F"/>
    <x v="0"/>
    <x v="1"/>
    <n v="48.87"/>
    <x v="1"/>
    <s v="OK"/>
    <x v="4"/>
    <n v="7"/>
    <x v="1"/>
  </r>
  <r>
    <s v="CUST0113"/>
    <x v="1"/>
    <n v="5"/>
    <n v="7"/>
    <s v="NO"/>
    <n v="139.02000000000001"/>
    <n v="10"/>
    <s v="OTHER"/>
    <x v="0"/>
    <x v="2"/>
    <n v="139.02000000000001"/>
    <x v="0"/>
    <s v="OK"/>
    <x v="4"/>
    <n v="10"/>
    <x v="1"/>
  </r>
  <r>
    <s v="CUST0255"/>
    <x v="3"/>
    <n v="6"/>
    <n v="5"/>
    <s v="YES"/>
    <n v="174.81"/>
    <n v="45"/>
    <s v="NAN"/>
    <x v="1"/>
    <x v="2"/>
    <n v="174.81"/>
    <x v="0"/>
    <s v="OK"/>
    <x v="1"/>
    <s v="NA"/>
    <x v="2"/>
  </r>
  <r>
    <s v="CUST0106"/>
    <x v="4"/>
    <n v="10"/>
    <n v="10"/>
    <s v="YES"/>
    <n v="75.36"/>
    <n v="7"/>
    <s v="FEMALE"/>
    <x v="1"/>
    <x v="1"/>
    <n v="75.36"/>
    <x v="0"/>
    <s v="OK"/>
    <x v="4"/>
    <n v="7"/>
    <x v="0"/>
  </r>
  <r>
    <s v="CUST0327"/>
    <x v="2"/>
    <n v="6"/>
    <n v="1"/>
    <s v="N"/>
    <n v="124.09"/>
    <n v="20"/>
    <s v="NAN"/>
    <x v="0"/>
    <x v="2"/>
    <n v="124.09"/>
    <x v="0"/>
    <s v="OK"/>
    <x v="2"/>
    <n v="7"/>
    <x v="1"/>
  </r>
  <r>
    <s v="CUST0426"/>
    <x v="0"/>
    <n v="6"/>
    <n v="5"/>
    <s v="YES"/>
    <n v="238.3"/>
    <n v="36"/>
    <s v="F"/>
    <x v="1"/>
    <x v="1"/>
    <n v="238.3"/>
    <x v="0"/>
    <s v="OK"/>
    <x v="1"/>
    <n v="5"/>
    <x v="1"/>
  </r>
  <r>
    <s v="CUST0981"/>
    <x v="1"/>
    <n v="7"/>
    <n v="4"/>
    <s v="NO"/>
    <n v="114.88"/>
    <n v="36"/>
    <s v="M"/>
    <x v="0"/>
    <x v="0"/>
    <n v="114.88"/>
    <x v="0"/>
    <s v="OK"/>
    <x v="1"/>
    <n v="10"/>
    <x v="1"/>
  </r>
  <r>
    <s v="CUST0670"/>
    <x v="2"/>
    <n v="6"/>
    <n v="3"/>
    <s v="NO"/>
    <n v="85.82"/>
    <n v="41"/>
    <s v="MALE"/>
    <x v="0"/>
    <x v="0"/>
    <n v="85.82"/>
    <x v="0"/>
    <s v="OK"/>
    <x v="1"/>
    <n v="7"/>
    <x v="1"/>
  </r>
  <r>
    <s v="CUST0350"/>
    <x v="2"/>
    <n v="8"/>
    <n v="2"/>
    <s v="NAN"/>
    <n v="6379"/>
    <n v="11"/>
    <s v="M"/>
    <x v="2"/>
    <x v="0"/>
    <n v="6379"/>
    <x v="0"/>
    <s v="OK"/>
    <x v="4"/>
    <n v="7"/>
    <x v="1"/>
  </r>
  <r>
    <s v="CUST0664"/>
    <x v="4"/>
    <n v="10"/>
    <n v="5"/>
    <s v=""/>
    <n v="155.19999999999999"/>
    <n v="30"/>
    <s v="PREFER NOT TO SAY"/>
    <x v="2"/>
    <x v="2"/>
    <n v="155.19999999999999"/>
    <x v="0"/>
    <s v="OK"/>
    <x v="1"/>
    <n v="7"/>
    <x v="1"/>
  </r>
  <r>
    <s v="CUST0332"/>
    <x v="0"/>
    <n v="7"/>
    <n v="5"/>
    <s v="YES"/>
    <n v="89.68"/>
    <n v="64"/>
    <s v="MALE"/>
    <x v="1"/>
    <x v="0"/>
    <n v="89.68"/>
    <x v="0"/>
    <s v="OK"/>
    <x v="3"/>
    <n v="5"/>
    <x v="1"/>
  </r>
  <r>
    <s v="CUST0689"/>
    <x v="2"/>
    <n v="9"/>
    <m/>
    <s v="YES"/>
    <n v="132.85"/>
    <n v="51"/>
    <s v="NAN"/>
    <x v="1"/>
    <x v="2"/>
    <n v="132.85"/>
    <x v="0"/>
    <s v="MISSING DELIVERY STATUS"/>
    <x v="1"/>
    <n v="7"/>
    <x v="2"/>
  </r>
  <r>
    <s v="CUST0642"/>
    <x v="4"/>
    <n v="7"/>
    <n v="7"/>
    <s v="Y"/>
    <n v="232.25"/>
    <n v="7"/>
    <s v="M"/>
    <x v="1"/>
    <x v="0"/>
    <n v="232.25"/>
    <x v="0"/>
    <s v="OK"/>
    <x v="4"/>
    <n v="7"/>
    <x v="1"/>
  </r>
  <r>
    <s v="CUST0970"/>
    <x v="2"/>
    <m/>
    <n v="6"/>
    <s v="N"/>
    <n v="71.72"/>
    <n v="52"/>
    <s v="F"/>
    <x v="0"/>
    <x v="1"/>
    <n v="71.72"/>
    <x v="1"/>
    <s v="OK"/>
    <x v="1"/>
    <n v="7"/>
    <x v="1"/>
  </r>
  <r>
    <s v="CUST0458"/>
    <x v="1"/>
    <n v="8"/>
    <n v="5"/>
    <s v="YES"/>
    <n v="13.09"/>
    <n v="35"/>
    <s v="F"/>
    <x v="1"/>
    <x v="1"/>
    <n v="13.09"/>
    <x v="0"/>
    <s v="OK"/>
    <x v="1"/>
    <n v="10"/>
    <x v="1"/>
  </r>
  <r>
    <s v="CUST0960"/>
    <x v="2"/>
    <n v="4"/>
    <n v="7"/>
    <s v="NO"/>
    <n v="62.89"/>
    <n v="30"/>
    <s v="M"/>
    <x v="0"/>
    <x v="0"/>
    <n v="62.89"/>
    <x v="0"/>
    <s v="OK"/>
    <x v="1"/>
    <n v="7"/>
    <x v="1"/>
  </r>
  <r>
    <s v="CUST0564"/>
    <x v="2"/>
    <n v="7"/>
    <n v="5"/>
    <s v="NO"/>
    <n v="142.21"/>
    <n v="54"/>
    <s v="M"/>
    <x v="0"/>
    <x v="0"/>
    <n v="142.21"/>
    <x v="0"/>
    <s v="OK"/>
    <x v="1"/>
    <n v="7"/>
    <x v="1"/>
  </r>
  <r>
    <s v="CUST0791"/>
    <x v="4"/>
    <n v="4"/>
    <n v="2"/>
    <s v="N"/>
    <n v="81.13"/>
    <n v="35"/>
    <s v="MALE"/>
    <x v="0"/>
    <x v="0"/>
    <n v="81.13"/>
    <x v="0"/>
    <s v="OK"/>
    <x v="1"/>
    <n v="7"/>
    <x v="1"/>
  </r>
  <r>
    <s v="CUST0210"/>
    <x v="0"/>
    <n v="6"/>
    <n v="3"/>
    <s v="YES"/>
    <n v="21.18"/>
    <n v="20"/>
    <s v="PREFER NOT TO SAY"/>
    <x v="1"/>
    <x v="2"/>
    <n v="21.18"/>
    <x v="0"/>
    <s v="OK"/>
    <x v="2"/>
    <n v="5"/>
    <x v="1"/>
  </r>
  <r>
    <s v="CUST0769"/>
    <x v="3"/>
    <n v="10"/>
    <n v="2"/>
    <s v="N"/>
    <n v="101.11"/>
    <n v="31"/>
    <s v="MALE"/>
    <x v="0"/>
    <x v="0"/>
    <n v="101.11"/>
    <x v="0"/>
    <s v="OK"/>
    <x v="1"/>
    <s v="NA"/>
    <x v="2"/>
  </r>
  <r>
    <s v="CUST0740"/>
    <x v="1"/>
    <n v="5"/>
    <n v="6"/>
    <s v="NO"/>
    <n v="137.69999999999999"/>
    <n v="43"/>
    <s v=""/>
    <x v="0"/>
    <x v="2"/>
    <n v="137.69999999999999"/>
    <x v="0"/>
    <s v="OK"/>
    <x v="1"/>
    <n v="10"/>
    <x v="1"/>
  </r>
  <r>
    <s v="CUST0580"/>
    <x v="4"/>
    <n v="10"/>
    <n v="5"/>
    <s v="Y"/>
    <n v="110.65"/>
    <n v="12"/>
    <s v="M"/>
    <x v="1"/>
    <x v="0"/>
    <n v="110.65"/>
    <x v="0"/>
    <s v="OK"/>
    <x v="4"/>
    <n v="7"/>
    <x v="1"/>
  </r>
  <r>
    <s v="CUST0728"/>
    <x v="2"/>
    <n v="8"/>
    <n v="3"/>
    <s v="NAN"/>
    <n v="193.14"/>
    <n v="37"/>
    <s v="PREFER NOT TO SAY"/>
    <x v="2"/>
    <x v="2"/>
    <n v="193.14"/>
    <x v="0"/>
    <s v="OK"/>
    <x v="1"/>
    <n v="7"/>
    <x v="1"/>
  </r>
  <r>
    <s v="GUEST"/>
    <x v="1"/>
    <n v="9"/>
    <n v="3"/>
    <s v="N"/>
    <n v="107.22"/>
    <n v="27"/>
    <s v="OTHER"/>
    <x v="0"/>
    <x v="2"/>
    <n v="107.22"/>
    <x v="0"/>
    <s v="OK"/>
    <x v="2"/>
    <n v="10"/>
    <x v="1"/>
  </r>
  <r>
    <s v="CUST0321"/>
    <x v="1"/>
    <n v="4"/>
    <n v="6"/>
    <s v="Y"/>
    <n v="138.07"/>
    <n v="42"/>
    <s v="MALE"/>
    <x v="1"/>
    <x v="0"/>
    <n v="138.07"/>
    <x v="0"/>
    <s v="OK"/>
    <x v="1"/>
    <n v="10"/>
    <x v="1"/>
  </r>
  <r>
    <s v="CUST0823"/>
    <x v="4"/>
    <n v="4"/>
    <n v="4"/>
    <s v="NO"/>
    <n v="32.770000000000003"/>
    <n v="21"/>
    <s v="NAN"/>
    <x v="0"/>
    <x v="2"/>
    <n v="32.770000000000003"/>
    <x v="0"/>
    <s v="OK"/>
    <x v="2"/>
    <n v="7"/>
    <x v="1"/>
  </r>
  <r>
    <s v="CUST0807"/>
    <x v="1"/>
    <n v="6"/>
    <n v="9"/>
    <s v="YES"/>
    <n v="160.15"/>
    <n v="19"/>
    <s v="M"/>
    <x v="1"/>
    <x v="0"/>
    <n v="160.15"/>
    <x v="0"/>
    <s v="OK"/>
    <x v="2"/>
    <n v="10"/>
    <x v="1"/>
  </r>
  <r>
    <s v="CUST0640"/>
    <x v="1"/>
    <n v="8"/>
    <n v="5"/>
    <s v="NAN"/>
    <n v="152.01"/>
    <n v="43"/>
    <s v=""/>
    <x v="2"/>
    <x v="2"/>
    <n v="152.01"/>
    <x v="0"/>
    <s v="OK"/>
    <x v="1"/>
    <n v="10"/>
    <x v="1"/>
  </r>
  <r>
    <s v="CUST0565"/>
    <x v="1"/>
    <n v="7"/>
    <n v="1"/>
    <s v="NAN"/>
    <n v="91.25"/>
    <n v="20"/>
    <s v="MALE"/>
    <x v="2"/>
    <x v="0"/>
    <n v="91.25"/>
    <x v="0"/>
    <s v="OK"/>
    <x v="2"/>
    <n v="10"/>
    <x v="1"/>
  </r>
  <r>
    <s v="CUST0656"/>
    <x v="0"/>
    <n v="6"/>
    <n v="4"/>
    <s v="YES"/>
    <n v="114.15"/>
    <n v="42"/>
    <s v="F"/>
    <x v="1"/>
    <x v="1"/>
    <n v="114.15"/>
    <x v="0"/>
    <s v="OK"/>
    <x v="1"/>
    <n v="5"/>
    <x v="1"/>
  </r>
  <r>
    <s v="CUST0066"/>
    <x v="4"/>
    <n v="9"/>
    <n v="8"/>
    <s v="NO"/>
    <n v="26.89"/>
    <n v="60"/>
    <s v="F"/>
    <x v="0"/>
    <x v="1"/>
    <n v="26.89"/>
    <x v="0"/>
    <s v="OK"/>
    <x v="3"/>
    <n v="7"/>
    <x v="0"/>
  </r>
  <r>
    <s v="CUST0068"/>
    <x v="0"/>
    <n v="8"/>
    <n v="10"/>
    <s v="NO"/>
    <n v="157.34"/>
    <n v="0"/>
    <s v="F"/>
    <x v="0"/>
    <x v="1"/>
    <n v="157.34"/>
    <x v="0"/>
    <s v="OK"/>
    <x v="4"/>
    <n v="5"/>
    <x v="0"/>
  </r>
  <r>
    <s v="CUST0447"/>
    <x v="3"/>
    <n v="5"/>
    <n v="7"/>
    <s v="YES"/>
    <n v="54.15"/>
    <n v="24"/>
    <s v="M"/>
    <x v="1"/>
    <x v="0"/>
    <n v="54.15"/>
    <x v="0"/>
    <s v="OK"/>
    <x v="2"/>
    <s v="NA"/>
    <x v="2"/>
  </r>
  <r>
    <s v="GUEST"/>
    <x v="1"/>
    <n v="7"/>
    <n v="4"/>
    <s v="YES"/>
    <n v="130.41999999999999"/>
    <n v="39"/>
    <s v="MALE"/>
    <x v="1"/>
    <x v="0"/>
    <n v="130.41999999999999"/>
    <x v="0"/>
    <s v="OK"/>
    <x v="1"/>
    <n v="10"/>
    <x v="1"/>
  </r>
  <r>
    <s v="CUST0389"/>
    <x v="0"/>
    <n v="8"/>
    <n v="4"/>
    <s v=""/>
    <n v="61.35"/>
    <n v="51"/>
    <s v="F"/>
    <x v="2"/>
    <x v="1"/>
    <n v="61.35"/>
    <x v="0"/>
    <s v="OK"/>
    <x v="1"/>
    <n v="5"/>
    <x v="1"/>
  </r>
  <r>
    <s v="CUST0996"/>
    <x v="0"/>
    <n v="6"/>
    <n v="3"/>
    <s v="YES"/>
    <n v="92.75"/>
    <n v="31"/>
    <s v="M"/>
    <x v="1"/>
    <x v="0"/>
    <n v="92.75"/>
    <x v="0"/>
    <s v="OK"/>
    <x v="1"/>
    <n v="5"/>
    <x v="1"/>
  </r>
  <r>
    <s v="CUST0484"/>
    <x v="4"/>
    <n v="11"/>
    <n v="4"/>
    <s v="YES"/>
    <n v="53.99"/>
    <n v="49"/>
    <s v="PREFER NOT TO SAY"/>
    <x v="1"/>
    <x v="2"/>
    <n v="53.99"/>
    <x v="0"/>
    <s v="OK"/>
    <x v="1"/>
    <n v="7"/>
    <x v="1"/>
  </r>
  <r>
    <s v="CUST0761"/>
    <x v="1"/>
    <n v="5"/>
    <n v="2"/>
    <s v="NAN"/>
    <n v="138.01"/>
    <n v="16"/>
    <s v="F"/>
    <x v="2"/>
    <x v="1"/>
    <n v="138.01"/>
    <x v="0"/>
    <s v="OK"/>
    <x v="2"/>
    <n v="10"/>
    <x v="1"/>
  </r>
  <r>
    <s v="CUST0699"/>
    <x v="4"/>
    <n v="8"/>
    <n v="4"/>
    <s v="YES"/>
    <n v="99.91"/>
    <n v="21"/>
    <s v="F"/>
    <x v="1"/>
    <x v="1"/>
    <n v="99.91"/>
    <x v="0"/>
    <s v="OK"/>
    <x v="2"/>
    <n v="7"/>
    <x v="1"/>
  </r>
  <r>
    <s v="CUST0674"/>
    <x v="4"/>
    <n v="6"/>
    <n v="5"/>
    <s v="NAN"/>
    <n v="73.930000000000007"/>
    <n v="33"/>
    <s v=""/>
    <x v="2"/>
    <x v="2"/>
    <n v="73.930000000000007"/>
    <x v="0"/>
    <s v="OK"/>
    <x v="1"/>
    <n v="7"/>
    <x v="1"/>
  </r>
  <r>
    <s v="CUST0884"/>
    <x v="1"/>
    <n v="9"/>
    <n v="5"/>
    <s v="NAN"/>
    <n v="133.97999999999999"/>
    <n v="40"/>
    <s v=""/>
    <x v="2"/>
    <x v="2"/>
    <n v="133.97999999999999"/>
    <x v="0"/>
    <s v="OK"/>
    <x v="1"/>
    <n v="10"/>
    <x v="1"/>
  </r>
  <r>
    <s v="CUST0149"/>
    <x v="0"/>
    <n v="6"/>
    <m/>
    <s v="YES"/>
    <n v="672"/>
    <n v="35"/>
    <s v="OTHER"/>
    <x v="1"/>
    <x v="2"/>
    <n v="672"/>
    <x v="0"/>
    <s v="MISSING DELIVERY STATUS"/>
    <x v="1"/>
    <n v="5"/>
    <x v="2"/>
  </r>
  <r>
    <s v="CUST0110"/>
    <x v="2"/>
    <n v="8"/>
    <n v="9"/>
    <s v="N"/>
    <n v="185.63"/>
    <n v="34"/>
    <s v="FEMALE"/>
    <x v="0"/>
    <x v="1"/>
    <n v="185.63"/>
    <x v="0"/>
    <s v="OK"/>
    <x v="1"/>
    <n v="7"/>
    <x v="0"/>
  </r>
  <r>
    <s v="CUST0567"/>
    <x v="4"/>
    <n v="4"/>
    <n v="3"/>
    <s v="N"/>
    <n v="36.770000000000003"/>
    <n v="24"/>
    <s v="NAN"/>
    <x v="0"/>
    <x v="2"/>
    <n v="36.770000000000003"/>
    <x v="0"/>
    <s v="OK"/>
    <x v="2"/>
    <n v="7"/>
    <x v="1"/>
  </r>
  <r>
    <s v="CUST0221"/>
    <x v="3"/>
    <n v="5"/>
    <n v="5"/>
    <s v=""/>
    <n v="85.07"/>
    <n v="21"/>
    <s v="FEMALE"/>
    <x v="2"/>
    <x v="1"/>
    <n v="85.07"/>
    <x v="0"/>
    <s v="OK"/>
    <x v="2"/>
    <s v="NA"/>
    <x v="2"/>
  </r>
  <r>
    <s v="CUST0706"/>
    <x v="0"/>
    <m/>
    <n v="6"/>
    <s v="YES"/>
    <n v="96.91"/>
    <n v="17"/>
    <s v="MALE"/>
    <x v="1"/>
    <x v="0"/>
    <n v="96.91"/>
    <x v="1"/>
    <s v="OK"/>
    <x v="2"/>
    <n v="5"/>
    <x v="0"/>
  </r>
  <r>
    <s v="CUST0648"/>
    <x v="0"/>
    <n v="8"/>
    <n v="6"/>
    <s v="NAN"/>
    <n v="129.78"/>
    <n v="6"/>
    <s v="FEMALE"/>
    <x v="2"/>
    <x v="1"/>
    <n v="129.78"/>
    <x v="0"/>
    <s v="OK"/>
    <x v="4"/>
    <n v="5"/>
    <x v="0"/>
  </r>
  <r>
    <s v="CUST0329"/>
    <x v="1"/>
    <n v="7"/>
    <m/>
    <s v="N"/>
    <n v="170.07"/>
    <n v="34"/>
    <s v="FEMALE"/>
    <x v="0"/>
    <x v="1"/>
    <n v="170.07"/>
    <x v="0"/>
    <s v="MISSING DELIVERY STATUS"/>
    <x v="1"/>
    <n v="10"/>
    <x v="2"/>
  </r>
  <r>
    <s v="GUEST"/>
    <x v="4"/>
    <n v="10"/>
    <n v="3"/>
    <s v="N"/>
    <n v="148.65"/>
    <n v="34"/>
    <s v="PREFER NOT TO SAY"/>
    <x v="0"/>
    <x v="2"/>
    <n v="148.65"/>
    <x v="0"/>
    <s v="OK"/>
    <x v="1"/>
    <n v="7"/>
    <x v="1"/>
  </r>
  <r>
    <s v="CUST0100"/>
    <x v="0"/>
    <n v="4"/>
    <n v="7"/>
    <s v="YES"/>
    <n v="22.32"/>
    <n v="31"/>
    <s v="M"/>
    <x v="1"/>
    <x v="0"/>
    <n v="22.32"/>
    <x v="0"/>
    <s v="OK"/>
    <x v="1"/>
    <n v="5"/>
    <x v="0"/>
  </r>
  <r>
    <s v="CUST0379"/>
    <x v="4"/>
    <n v="9"/>
    <n v="5"/>
    <s v=""/>
    <n v="10379"/>
    <n v="54"/>
    <s v="FEMALE"/>
    <x v="2"/>
    <x v="1"/>
    <n v="10379"/>
    <x v="0"/>
    <s v="OK"/>
    <x v="1"/>
    <n v="7"/>
    <x v="1"/>
  </r>
  <r>
    <s v="CUST0289"/>
    <x v="0"/>
    <n v="4"/>
    <n v="8"/>
    <s v="N"/>
    <n v="131.78"/>
    <n v="37"/>
    <s v="PREFER NOT TO SAY"/>
    <x v="0"/>
    <x v="2"/>
    <n v="131.78"/>
    <x v="0"/>
    <s v="OK"/>
    <x v="1"/>
    <n v="5"/>
    <x v="0"/>
  </r>
  <r>
    <s v="CUST0036"/>
    <x v="0"/>
    <n v="11"/>
    <n v="7"/>
    <s v="NAN"/>
    <n v="100.09"/>
    <n v="0"/>
    <s v="MALE"/>
    <x v="2"/>
    <x v="0"/>
    <n v="100.09"/>
    <x v="0"/>
    <s v="OK"/>
    <x v="4"/>
    <n v="5"/>
    <x v="0"/>
  </r>
  <r>
    <s v="CUST0050"/>
    <x v="4"/>
    <n v="7"/>
    <n v="6"/>
    <s v="Y"/>
    <n v="69.25"/>
    <n v="44"/>
    <s v="PREFER NOT TO SAY"/>
    <x v="1"/>
    <x v="2"/>
    <n v="69.25"/>
    <x v="0"/>
    <s v="OK"/>
    <x v="1"/>
    <n v="7"/>
    <x v="1"/>
  </r>
  <r>
    <s v="CUST0121"/>
    <x v="1"/>
    <n v="6"/>
    <n v="6"/>
    <s v=""/>
    <n v="142.61000000000001"/>
    <n v="57"/>
    <s v=""/>
    <x v="2"/>
    <x v="2"/>
    <n v="142.61000000000001"/>
    <x v="0"/>
    <s v="OK"/>
    <x v="1"/>
    <n v="10"/>
    <x v="1"/>
  </r>
  <r>
    <s v="CUST0917"/>
    <x v="4"/>
    <n v="7"/>
    <n v="4"/>
    <s v="NAN"/>
    <n v="111.77"/>
    <n v="29"/>
    <s v="MALE"/>
    <x v="2"/>
    <x v="0"/>
    <n v="111.77"/>
    <x v="0"/>
    <s v="OK"/>
    <x v="2"/>
    <n v="7"/>
    <x v="1"/>
  </r>
  <r>
    <s v="CUST0819"/>
    <x v="1"/>
    <n v="7"/>
    <n v="3"/>
    <s v="NAN"/>
    <n v="82.46"/>
    <n v="43"/>
    <s v="PREFER NOT TO SAY"/>
    <x v="2"/>
    <x v="2"/>
    <n v="82.46"/>
    <x v="0"/>
    <s v="OK"/>
    <x v="1"/>
    <n v="10"/>
    <x v="1"/>
  </r>
  <r>
    <s v="CUST0094"/>
    <x v="4"/>
    <m/>
    <n v="4"/>
    <s v="YES"/>
    <n v="108.33"/>
    <n v="29"/>
    <s v="NAN"/>
    <x v="1"/>
    <x v="2"/>
    <n v="108.33"/>
    <x v="1"/>
    <s v="OK"/>
    <x v="2"/>
    <n v="7"/>
    <x v="1"/>
  </r>
  <r>
    <s v="CUST0574"/>
    <x v="4"/>
    <n v="8"/>
    <n v="5"/>
    <s v="N"/>
    <n v="27.53"/>
    <n v="50"/>
    <s v="OTHER"/>
    <x v="0"/>
    <x v="2"/>
    <n v="27.53"/>
    <x v="0"/>
    <s v="OK"/>
    <x v="1"/>
    <n v="7"/>
    <x v="1"/>
  </r>
  <r>
    <s v="CUST0368"/>
    <x v="4"/>
    <n v="9"/>
    <n v="1"/>
    <s v="YES"/>
    <n v="135.5"/>
    <n v="49"/>
    <s v="OTHER"/>
    <x v="1"/>
    <x v="2"/>
    <n v="135.5"/>
    <x v="0"/>
    <s v="OK"/>
    <x v="1"/>
    <n v="7"/>
    <x v="1"/>
  </r>
  <r>
    <s v="CUST0369"/>
    <x v="2"/>
    <n v="5"/>
    <n v="6"/>
    <s v="NO"/>
    <n v="153.63999999999999"/>
    <n v="65"/>
    <s v="NAN"/>
    <x v="0"/>
    <x v="2"/>
    <n v="153.63999999999999"/>
    <x v="0"/>
    <s v="OK"/>
    <x v="3"/>
    <n v="7"/>
    <x v="1"/>
  </r>
  <r>
    <s v="CUST0062"/>
    <x v="2"/>
    <n v="5"/>
    <n v="6"/>
    <s v="YES"/>
    <n v="39.770000000000003"/>
    <n v="59"/>
    <s v="OTHER"/>
    <x v="1"/>
    <x v="2"/>
    <n v="39.770000000000003"/>
    <x v="0"/>
    <s v="OK"/>
    <x v="1"/>
    <n v="7"/>
    <x v="1"/>
  </r>
  <r>
    <s v="CUST0985"/>
    <x v="1"/>
    <n v="7"/>
    <n v="5"/>
    <s v="NAN"/>
    <n v="86.09"/>
    <n v="22"/>
    <s v="F"/>
    <x v="2"/>
    <x v="1"/>
    <n v="86.09"/>
    <x v="0"/>
    <s v="OK"/>
    <x v="2"/>
    <n v="10"/>
    <x v="1"/>
  </r>
  <r>
    <s v="CUST0668"/>
    <x v="1"/>
    <n v="8"/>
    <n v="4"/>
    <s v="NAN"/>
    <n v="58.58"/>
    <n v="16"/>
    <s v="FEMALE"/>
    <x v="2"/>
    <x v="1"/>
    <n v="58.58"/>
    <x v="0"/>
    <s v="OK"/>
    <x v="2"/>
    <n v="10"/>
    <x v="1"/>
  </r>
  <r>
    <s v="CUST0215"/>
    <x v="3"/>
    <n v="9"/>
    <n v="5"/>
    <s v="NO"/>
    <n v="173.22"/>
    <n v="39"/>
    <s v="OTHER"/>
    <x v="0"/>
    <x v="2"/>
    <n v="173.22"/>
    <x v="0"/>
    <s v="OK"/>
    <x v="1"/>
    <s v="NA"/>
    <x v="2"/>
  </r>
  <r>
    <s v="CUST0569"/>
    <x v="2"/>
    <n v="7"/>
    <n v="4"/>
    <s v=""/>
    <n v="106.58"/>
    <n v="30"/>
    <s v="F"/>
    <x v="2"/>
    <x v="1"/>
    <n v="106.58"/>
    <x v="0"/>
    <s v="OK"/>
    <x v="1"/>
    <n v="7"/>
    <x v="1"/>
  </r>
  <r>
    <s v="CUST0101"/>
    <x v="2"/>
    <n v="6"/>
    <n v="2"/>
    <s v="Y"/>
    <n v="86.49"/>
    <n v="40"/>
    <s v="F"/>
    <x v="1"/>
    <x v="1"/>
    <n v="86.49"/>
    <x v="0"/>
    <s v="OK"/>
    <x v="1"/>
    <n v="7"/>
    <x v="1"/>
  </r>
  <r>
    <s v="CUST0727"/>
    <x v="2"/>
    <n v="9"/>
    <n v="5"/>
    <s v="NO"/>
    <n v="22.2"/>
    <n v="35"/>
    <s v="NAN"/>
    <x v="0"/>
    <x v="2"/>
    <n v="22.2"/>
    <x v="0"/>
    <s v="OK"/>
    <x v="1"/>
    <n v="7"/>
    <x v="1"/>
  </r>
  <r>
    <s v="CUST0743"/>
    <x v="4"/>
    <n v="7"/>
    <m/>
    <s v="YES"/>
    <n v="132.47"/>
    <n v="32"/>
    <s v="F"/>
    <x v="1"/>
    <x v="1"/>
    <n v="132.47"/>
    <x v="0"/>
    <s v="MISSING DELIVERY STATUS"/>
    <x v="1"/>
    <n v="7"/>
    <x v="2"/>
  </r>
  <r>
    <s v="CUST0998"/>
    <x v="3"/>
    <n v="6"/>
    <n v="5"/>
    <s v="Y"/>
    <n v="140.05000000000001"/>
    <n v="41"/>
    <s v="NAN"/>
    <x v="1"/>
    <x v="2"/>
    <n v="140.05000000000001"/>
    <x v="0"/>
    <s v="OK"/>
    <x v="1"/>
    <s v="NA"/>
    <x v="2"/>
  </r>
  <r>
    <s v="CUST0407"/>
    <x v="4"/>
    <n v="8"/>
    <n v="5"/>
    <s v="YES"/>
    <n v="132.63"/>
    <n v="29"/>
    <s v="F"/>
    <x v="1"/>
    <x v="1"/>
    <n v="132.63"/>
    <x v="0"/>
    <s v="OK"/>
    <x v="2"/>
    <n v="7"/>
    <x v="1"/>
  </r>
  <r>
    <s v="CUST0953"/>
    <x v="0"/>
    <n v="6"/>
    <n v="5"/>
    <s v="YES"/>
    <n v="172.29"/>
    <n v="22"/>
    <s v="PREFER NOT TO SAY"/>
    <x v="1"/>
    <x v="2"/>
    <n v="172.29"/>
    <x v="0"/>
    <s v="OK"/>
    <x v="2"/>
    <n v="5"/>
    <x v="1"/>
  </r>
  <r>
    <s v="CUST0381"/>
    <x v="1"/>
    <n v="7"/>
    <n v="9"/>
    <s v="Y"/>
    <n v="172.16"/>
    <n v="29"/>
    <s v="F"/>
    <x v="1"/>
    <x v="1"/>
    <n v="172.16"/>
    <x v="0"/>
    <s v="OK"/>
    <x v="2"/>
    <n v="10"/>
    <x v="1"/>
  </r>
  <r>
    <s v="CUST0951"/>
    <x v="2"/>
    <n v="6"/>
    <n v="6"/>
    <s v=""/>
    <n v="74.38"/>
    <n v="34"/>
    <s v="M"/>
    <x v="2"/>
    <x v="0"/>
    <n v="74.38"/>
    <x v="0"/>
    <s v="OK"/>
    <x v="1"/>
    <n v="7"/>
    <x v="1"/>
  </r>
  <r>
    <s v="CUST0167"/>
    <x v="1"/>
    <m/>
    <n v="3"/>
    <s v="NO"/>
    <n v="60.39"/>
    <n v="37"/>
    <s v="FEMALE"/>
    <x v="0"/>
    <x v="1"/>
    <n v="60.39"/>
    <x v="1"/>
    <s v="OK"/>
    <x v="1"/>
    <n v="10"/>
    <x v="1"/>
  </r>
  <r>
    <s v="CUST0788"/>
    <x v="1"/>
    <m/>
    <n v="5"/>
    <s v="NO"/>
    <n v="77.3"/>
    <n v="34"/>
    <s v="OTHER"/>
    <x v="0"/>
    <x v="2"/>
    <n v="77.3"/>
    <x v="1"/>
    <s v="OK"/>
    <x v="1"/>
    <n v="10"/>
    <x v="1"/>
  </r>
  <r>
    <s v="GUEST"/>
    <x v="2"/>
    <m/>
    <n v="8"/>
    <s v="NAN"/>
    <n v="116.27"/>
    <n v="69"/>
    <s v="NAN"/>
    <x v="2"/>
    <x v="2"/>
    <n v="116.27"/>
    <x v="1"/>
    <s v="OK"/>
    <x v="3"/>
    <n v="7"/>
    <x v="0"/>
  </r>
  <r>
    <s v="CUST0222"/>
    <x v="2"/>
    <n v="5"/>
    <n v="8"/>
    <s v="NO"/>
    <n v="113.7"/>
    <n v="26"/>
    <s v="OTHER"/>
    <x v="0"/>
    <x v="2"/>
    <n v="113.7"/>
    <x v="0"/>
    <s v="OK"/>
    <x v="2"/>
    <n v="7"/>
    <x v="0"/>
  </r>
  <r>
    <s v="CUST0844"/>
    <x v="2"/>
    <n v="11"/>
    <n v="7"/>
    <s v="NO"/>
    <n v="139.66"/>
    <n v="27"/>
    <s v="NAN"/>
    <x v="0"/>
    <x v="2"/>
    <n v="139.66"/>
    <x v="0"/>
    <s v="OK"/>
    <x v="2"/>
    <n v="7"/>
    <x v="1"/>
  </r>
  <r>
    <s v="CUST0487"/>
    <x v="2"/>
    <n v="4"/>
    <n v="4"/>
    <s v="YES"/>
    <n v="81.290000000000006"/>
    <n v="6"/>
    <s v="PREFER NOT TO SAY"/>
    <x v="1"/>
    <x v="2"/>
    <n v="81.290000000000006"/>
    <x v="0"/>
    <s v="OK"/>
    <x v="4"/>
    <n v="7"/>
    <x v="1"/>
  </r>
  <r>
    <s v="CUST0226"/>
    <x v="4"/>
    <n v="7"/>
    <n v="2"/>
    <s v="YES"/>
    <n v="158.22999999999999"/>
    <n v="15"/>
    <s v="F"/>
    <x v="1"/>
    <x v="1"/>
    <n v="158.22999999999999"/>
    <x v="0"/>
    <s v="OK"/>
    <x v="2"/>
    <n v="7"/>
    <x v="1"/>
  </r>
  <r>
    <s v="CUST0265"/>
    <x v="2"/>
    <n v="11"/>
    <n v="6"/>
    <s v="YES"/>
    <n v="104.17"/>
    <n v="25"/>
    <s v="PREFER NOT TO SAY"/>
    <x v="1"/>
    <x v="2"/>
    <n v="104.17"/>
    <x v="0"/>
    <s v="OK"/>
    <x v="2"/>
    <n v="7"/>
    <x v="1"/>
  </r>
  <r>
    <s v="CUST0107"/>
    <x v="4"/>
    <n v="7"/>
    <n v="4"/>
    <s v="NO"/>
    <n v="58.19"/>
    <n v="41"/>
    <s v="PREFER NOT TO SAY"/>
    <x v="0"/>
    <x v="2"/>
    <n v="58.19"/>
    <x v="0"/>
    <s v="OK"/>
    <x v="1"/>
    <n v="7"/>
    <x v="1"/>
  </r>
  <r>
    <s v="CUST0033"/>
    <x v="1"/>
    <n v="9"/>
    <n v="8"/>
    <s v="NAN"/>
    <n v="101.06"/>
    <n v="39"/>
    <s v="F"/>
    <x v="2"/>
    <x v="1"/>
    <n v="101.06"/>
    <x v="0"/>
    <s v="OK"/>
    <x v="1"/>
    <n v="10"/>
    <x v="1"/>
  </r>
  <r>
    <s v="CUST0618"/>
    <x v="1"/>
    <n v="6"/>
    <n v="4"/>
    <s v="NO"/>
    <n v="129.82"/>
    <n v="42"/>
    <s v="F"/>
    <x v="0"/>
    <x v="1"/>
    <n v="129.82"/>
    <x v="0"/>
    <s v="OK"/>
    <x v="1"/>
    <n v="10"/>
    <x v="1"/>
  </r>
  <r>
    <s v="CUST0939"/>
    <x v="4"/>
    <n v="7"/>
    <n v="5"/>
    <s v="NO"/>
    <n v="89.85"/>
    <n v="24"/>
    <s v="OTHER"/>
    <x v="0"/>
    <x v="2"/>
    <n v="89.85"/>
    <x v="0"/>
    <s v="OK"/>
    <x v="2"/>
    <n v="7"/>
    <x v="1"/>
  </r>
  <r>
    <s v="CUST0927"/>
    <x v="0"/>
    <n v="10"/>
    <n v="5"/>
    <s v="NO"/>
    <n v="47.18"/>
    <n v="0"/>
    <s v="PREFER NOT TO SAY"/>
    <x v="0"/>
    <x v="2"/>
    <n v="47.18"/>
    <x v="0"/>
    <s v="OK"/>
    <x v="4"/>
    <n v="5"/>
    <x v="1"/>
  </r>
  <r>
    <s v="CUST0544"/>
    <x v="4"/>
    <n v="7"/>
    <n v="9"/>
    <s v="YES"/>
    <n v="108.63"/>
    <n v="22"/>
    <s v="MALE"/>
    <x v="1"/>
    <x v="0"/>
    <n v="108.63"/>
    <x v="0"/>
    <s v="OK"/>
    <x v="2"/>
    <n v="7"/>
    <x v="0"/>
  </r>
  <r>
    <s v="CUST0749"/>
    <x v="0"/>
    <n v="7"/>
    <n v="4"/>
    <s v="N"/>
    <n v="100.01"/>
    <n v="56"/>
    <s v="PREFER NOT TO SAY"/>
    <x v="0"/>
    <x v="2"/>
    <n v="100.01"/>
    <x v="0"/>
    <s v="OK"/>
    <x v="1"/>
    <n v="5"/>
    <x v="1"/>
  </r>
  <r>
    <s v="CUST0821"/>
    <x v="2"/>
    <n v="6"/>
    <n v="8"/>
    <s v="N"/>
    <n v="116.94"/>
    <m/>
    <s v="MALE"/>
    <x v="0"/>
    <x v="0"/>
    <n v="116.94"/>
    <x v="0"/>
    <s v="OK"/>
    <x v="0"/>
    <n v="7"/>
    <x v="0"/>
  </r>
  <r>
    <s v="CUST0546"/>
    <x v="1"/>
    <n v="11"/>
    <n v="6"/>
    <s v="YES"/>
    <n v="115.86"/>
    <n v="34"/>
    <s v="FEMALE"/>
    <x v="1"/>
    <x v="1"/>
    <n v="115.86"/>
    <x v="0"/>
    <s v="OK"/>
    <x v="1"/>
    <n v="10"/>
    <x v="1"/>
  </r>
  <r>
    <s v="CUST0504"/>
    <x v="1"/>
    <n v="9"/>
    <n v="5"/>
    <s v="NO"/>
    <n v="101.1"/>
    <n v="50"/>
    <s v="PREFER NOT TO SAY"/>
    <x v="0"/>
    <x v="2"/>
    <n v="101.1"/>
    <x v="0"/>
    <s v="OK"/>
    <x v="1"/>
    <n v="10"/>
    <x v="1"/>
  </r>
  <r>
    <s v="CUST0454"/>
    <x v="4"/>
    <n v="7"/>
    <n v="5"/>
    <s v="NO"/>
    <n v="154.16999999999999"/>
    <n v="34"/>
    <s v="FEMALE"/>
    <x v="0"/>
    <x v="1"/>
    <n v="154.16999999999999"/>
    <x v="0"/>
    <s v="OK"/>
    <x v="1"/>
    <n v="7"/>
    <x v="1"/>
  </r>
  <r>
    <s v="CUST0903"/>
    <x v="4"/>
    <n v="5"/>
    <n v="4"/>
    <s v="NO"/>
    <n v="89.38"/>
    <n v="39"/>
    <s v="OTHER"/>
    <x v="0"/>
    <x v="2"/>
    <n v="89.38"/>
    <x v="0"/>
    <s v="OK"/>
    <x v="1"/>
    <n v="7"/>
    <x v="1"/>
  </r>
  <r>
    <s v="CUST0587"/>
    <x v="4"/>
    <n v="9"/>
    <m/>
    <s v="NO"/>
    <n v="32.799999999999997"/>
    <n v="38"/>
    <s v="MALE"/>
    <x v="0"/>
    <x v="0"/>
    <n v="32.799999999999997"/>
    <x v="0"/>
    <s v="MISSING DELIVERY STATUS"/>
    <x v="1"/>
    <n v="7"/>
    <x v="2"/>
  </r>
  <r>
    <s v="CUST0971"/>
    <x v="1"/>
    <n v="6"/>
    <n v="4"/>
    <s v="NAN"/>
    <n v="159.86000000000001"/>
    <n v="35"/>
    <s v="M"/>
    <x v="2"/>
    <x v="0"/>
    <n v="159.86000000000001"/>
    <x v="0"/>
    <s v="OK"/>
    <x v="1"/>
    <n v="10"/>
    <x v="1"/>
  </r>
  <r>
    <s v="GUEST"/>
    <x v="1"/>
    <n v="7"/>
    <n v="8"/>
    <s v="YES"/>
    <n v="183.7"/>
    <n v="22"/>
    <s v="F"/>
    <x v="1"/>
    <x v="1"/>
    <n v="183.7"/>
    <x v="0"/>
    <s v="OK"/>
    <x v="2"/>
    <n v="10"/>
    <x v="1"/>
  </r>
  <r>
    <s v="CUST0250"/>
    <x v="2"/>
    <n v="4"/>
    <n v="4"/>
    <s v="YES"/>
    <n v="48.57"/>
    <n v="32"/>
    <s v="MALE"/>
    <x v="1"/>
    <x v="0"/>
    <n v="48.57"/>
    <x v="0"/>
    <s v="OK"/>
    <x v="1"/>
    <n v="7"/>
    <x v="1"/>
  </r>
  <r>
    <s v="CUST0561"/>
    <x v="1"/>
    <n v="4"/>
    <n v="6"/>
    <s v="NO"/>
    <n v="168.96"/>
    <n v="2"/>
    <s v="M"/>
    <x v="0"/>
    <x v="0"/>
    <n v="168.96"/>
    <x v="0"/>
    <s v="OK"/>
    <x v="4"/>
    <n v="10"/>
    <x v="1"/>
  </r>
  <r>
    <s v="CUST0805"/>
    <x v="4"/>
    <n v="7"/>
    <n v="2"/>
    <s v="NAN"/>
    <n v="93.56"/>
    <n v="68"/>
    <s v="F"/>
    <x v="2"/>
    <x v="1"/>
    <n v="93.56"/>
    <x v="0"/>
    <s v="OK"/>
    <x v="3"/>
    <n v="7"/>
    <x v="1"/>
  </r>
  <r>
    <s v="CUST0863"/>
    <x v="4"/>
    <n v="7"/>
    <n v="5"/>
    <s v=""/>
    <n v="22.33"/>
    <n v="37"/>
    <s v="NAN"/>
    <x v="2"/>
    <x v="2"/>
    <n v="22.33"/>
    <x v="0"/>
    <s v="OK"/>
    <x v="1"/>
    <n v="7"/>
    <x v="1"/>
  </r>
  <r>
    <s v="CUST0770"/>
    <x v="0"/>
    <n v="9"/>
    <n v="4"/>
    <s v="YES"/>
    <n v="26.95"/>
    <n v="35"/>
    <s v="OTHER"/>
    <x v="1"/>
    <x v="2"/>
    <n v="26.95"/>
    <x v="0"/>
    <s v="OK"/>
    <x v="1"/>
    <n v="5"/>
    <x v="1"/>
  </r>
  <r>
    <s v="CUST0581"/>
    <x v="3"/>
    <m/>
    <n v="5"/>
    <s v="NO"/>
    <n v="162.06"/>
    <n v="40"/>
    <s v=""/>
    <x v="0"/>
    <x v="2"/>
    <n v="162.06"/>
    <x v="1"/>
    <s v="OK"/>
    <x v="1"/>
    <s v="NA"/>
    <x v="2"/>
  </r>
  <r>
    <s v="CUST0469"/>
    <x v="0"/>
    <n v="10"/>
    <m/>
    <s v="YES"/>
    <n v="132.87"/>
    <n v="49"/>
    <s v="NAN"/>
    <x v="1"/>
    <x v="2"/>
    <n v="132.87"/>
    <x v="0"/>
    <s v="MISSING DELIVERY STATUS"/>
    <x v="1"/>
    <n v="5"/>
    <x v="2"/>
  </r>
  <r>
    <s v="CUST0428"/>
    <x v="1"/>
    <n v="7"/>
    <n v="7"/>
    <s v="YES"/>
    <n v="57.91"/>
    <n v="18"/>
    <s v="MALE"/>
    <x v="1"/>
    <x v="0"/>
    <n v="57.91"/>
    <x v="0"/>
    <s v="OK"/>
    <x v="2"/>
    <n v="10"/>
    <x v="1"/>
  </r>
  <r>
    <s v="CUST0111"/>
    <x v="1"/>
    <n v="5"/>
    <m/>
    <s v="NO"/>
    <n v="96.87"/>
    <n v="40"/>
    <s v=""/>
    <x v="0"/>
    <x v="2"/>
    <n v="96.87"/>
    <x v="0"/>
    <s v="MISSING DELIVERY STATUS"/>
    <x v="1"/>
    <n v="10"/>
    <x v="2"/>
  </r>
  <r>
    <s v="CUST0104"/>
    <x v="1"/>
    <n v="9"/>
    <n v="8"/>
    <s v="N"/>
    <n v="146.19999999999999"/>
    <n v="43"/>
    <s v="F"/>
    <x v="0"/>
    <x v="1"/>
    <n v="146.19999999999999"/>
    <x v="0"/>
    <s v="OK"/>
    <x v="1"/>
    <n v="10"/>
    <x v="1"/>
  </r>
  <r>
    <s v="CUST0734"/>
    <x v="1"/>
    <n v="9"/>
    <n v="5"/>
    <s v="YES"/>
    <n v="21.85"/>
    <n v="37"/>
    <s v="OTHER"/>
    <x v="1"/>
    <x v="2"/>
    <n v="21.85"/>
    <x v="0"/>
    <s v="OK"/>
    <x v="1"/>
    <n v="10"/>
    <x v="1"/>
  </r>
  <r>
    <s v="CUST0365"/>
    <x v="2"/>
    <n v="5"/>
    <n v="0"/>
    <s v="N"/>
    <n v="130.93"/>
    <n v="30"/>
    <s v="MALE"/>
    <x v="0"/>
    <x v="0"/>
    <n v="130.93"/>
    <x v="0"/>
    <s v="OK"/>
    <x v="1"/>
    <n v="7"/>
    <x v="1"/>
  </r>
  <r>
    <s v="CUST0921"/>
    <x v="0"/>
    <n v="7"/>
    <n v="6"/>
    <s v="NAN"/>
    <n v="146"/>
    <n v="35"/>
    <s v="M"/>
    <x v="2"/>
    <x v="0"/>
    <n v="146"/>
    <x v="0"/>
    <s v="OK"/>
    <x v="1"/>
    <n v="5"/>
    <x v="0"/>
  </r>
  <r>
    <s v="CUST0267"/>
    <x v="1"/>
    <n v="6"/>
    <n v="5"/>
    <s v="Y"/>
    <n v="82.06"/>
    <n v="26"/>
    <s v="PREFER NOT TO SAY"/>
    <x v="1"/>
    <x v="2"/>
    <n v="82.06"/>
    <x v="0"/>
    <s v="OK"/>
    <x v="2"/>
    <n v="10"/>
    <x v="1"/>
  </r>
  <r>
    <s v="CUST0203"/>
    <x v="2"/>
    <n v="9"/>
    <m/>
    <s v="YES"/>
    <n v="81.150000000000006"/>
    <n v="56"/>
    <s v="M"/>
    <x v="1"/>
    <x v="0"/>
    <n v="81.150000000000006"/>
    <x v="0"/>
    <s v="MISSING DELIVERY STATUS"/>
    <x v="1"/>
    <n v="7"/>
    <x v="2"/>
  </r>
  <r>
    <s v="CUST0378"/>
    <x v="0"/>
    <n v="7"/>
    <n v="2"/>
    <s v="N"/>
    <n v="83.91"/>
    <n v="64"/>
    <s v="OTHER"/>
    <x v="0"/>
    <x v="2"/>
    <n v="83.91"/>
    <x v="0"/>
    <s v="OK"/>
    <x v="3"/>
    <n v="5"/>
    <x v="1"/>
  </r>
  <r>
    <s v="CUST0450"/>
    <x v="4"/>
    <n v="7"/>
    <n v="6"/>
    <s v="N"/>
    <n v="135.13999999999999"/>
    <n v="24"/>
    <s v="OTHER"/>
    <x v="0"/>
    <x v="2"/>
    <n v="135.13999999999999"/>
    <x v="0"/>
    <s v="OK"/>
    <x v="2"/>
    <n v="7"/>
    <x v="1"/>
  </r>
  <r>
    <s v="CUST0102"/>
    <x v="4"/>
    <n v="5"/>
    <n v="1"/>
    <s v="N"/>
    <n v="129.69999999999999"/>
    <n v="63"/>
    <s v="OTHER"/>
    <x v="0"/>
    <x v="2"/>
    <n v="129.69999999999999"/>
    <x v="0"/>
    <s v="OK"/>
    <x v="3"/>
    <n v="7"/>
    <x v="1"/>
  </r>
  <r>
    <s v="CUST0230"/>
    <x v="0"/>
    <n v="7"/>
    <n v="11"/>
    <s v="NAN"/>
    <n v="76.34"/>
    <n v="33"/>
    <s v="F"/>
    <x v="2"/>
    <x v="1"/>
    <n v="76.34"/>
    <x v="0"/>
    <s v="OK"/>
    <x v="1"/>
    <n v="5"/>
    <x v="0"/>
  </r>
  <r>
    <s v="CUST0319"/>
    <x v="2"/>
    <n v="4"/>
    <n v="6"/>
    <s v="YES"/>
    <n v="76.540000000000006"/>
    <n v="26"/>
    <s v="MALE"/>
    <x v="1"/>
    <x v="0"/>
    <n v="76.540000000000006"/>
    <x v="0"/>
    <s v="OK"/>
    <x v="2"/>
    <n v="7"/>
    <x v="1"/>
  </r>
  <r>
    <s v="CUST0371"/>
    <x v="1"/>
    <n v="8"/>
    <n v="5"/>
    <s v="NO"/>
    <n v="85.69"/>
    <n v="17"/>
    <s v=""/>
    <x v="0"/>
    <x v="2"/>
    <n v="85.69"/>
    <x v="0"/>
    <s v="OK"/>
    <x v="2"/>
    <n v="10"/>
    <x v="1"/>
  </r>
  <r>
    <s v="CUST0025"/>
    <x v="1"/>
    <n v="8"/>
    <n v="8"/>
    <s v="NO"/>
    <n v="196.96"/>
    <n v="44"/>
    <s v="F"/>
    <x v="0"/>
    <x v="1"/>
    <n v="196.96"/>
    <x v="0"/>
    <s v="OK"/>
    <x v="1"/>
    <n v="10"/>
    <x v="1"/>
  </r>
  <r>
    <s v="CUST0736"/>
    <x v="2"/>
    <n v="9"/>
    <n v="7"/>
    <s v="NAN"/>
    <n v="159.13"/>
    <n v="35"/>
    <s v="PREFER NOT TO SAY"/>
    <x v="2"/>
    <x v="2"/>
    <n v="159.13"/>
    <x v="0"/>
    <s v="OK"/>
    <x v="1"/>
    <n v="7"/>
    <x v="1"/>
  </r>
  <r>
    <s v="CUST0312"/>
    <x v="2"/>
    <n v="4"/>
    <n v="4"/>
    <s v="NAN"/>
    <n v="57.02"/>
    <n v="34"/>
    <s v="MALE"/>
    <x v="2"/>
    <x v="0"/>
    <n v="57.02"/>
    <x v="0"/>
    <s v="OK"/>
    <x v="1"/>
    <n v="7"/>
    <x v="1"/>
  </r>
  <r>
    <s v="CUST0802"/>
    <x v="4"/>
    <n v="7"/>
    <n v="4"/>
    <s v="NAN"/>
    <n v="101.46"/>
    <n v="32"/>
    <s v="M"/>
    <x v="2"/>
    <x v="0"/>
    <n v="101.46"/>
    <x v="0"/>
    <s v="OK"/>
    <x v="1"/>
    <n v="7"/>
    <x v="1"/>
  </r>
  <r>
    <s v="CUST0134"/>
    <x v="0"/>
    <n v="9"/>
    <n v="9"/>
    <s v="NO"/>
    <n v="66.03"/>
    <n v="36"/>
    <s v="NAN"/>
    <x v="0"/>
    <x v="2"/>
    <n v="66.03"/>
    <x v="0"/>
    <s v="OK"/>
    <x v="1"/>
    <n v="5"/>
    <x v="0"/>
  </r>
  <r>
    <s v="CUST0876"/>
    <x v="3"/>
    <n v="7"/>
    <m/>
    <s v="NO"/>
    <n v="16.39"/>
    <n v="65"/>
    <s v="PREFER NOT TO SAY"/>
    <x v="0"/>
    <x v="2"/>
    <n v="16.39"/>
    <x v="0"/>
    <s v="MISSING DELIVERY STATUS"/>
    <x v="3"/>
    <s v="NA"/>
    <x v="2"/>
  </r>
  <r>
    <s v="CUST0474"/>
    <x v="1"/>
    <n v="8"/>
    <n v="6"/>
    <s v="YES"/>
    <n v="46.03"/>
    <n v="51"/>
    <s v="F"/>
    <x v="1"/>
    <x v="1"/>
    <n v="46.03"/>
    <x v="0"/>
    <s v="OK"/>
    <x v="1"/>
    <n v="10"/>
    <x v="1"/>
  </r>
  <r>
    <s v="CUST0677"/>
    <x v="1"/>
    <n v="9"/>
    <n v="6"/>
    <s v="YES"/>
    <n v="40.99"/>
    <n v="51"/>
    <s v="NAN"/>
    <x v="1"/>
    <x v="2"/>
    <n v="40.99"/>
    <x v="0"/>
    <s v="OK"/>
    <x v="1"/>
    <n v="10"/>
    <x v="1"/>
  </r>
  <r>
    <s v="CUST0616"/>
    <x v="2"/>
    <n v="9"/>
    <n v="5"/>
    <s v="NO"/>
    <n v="103.44"/>
    <n v="50"/>
    <s v="M"/>
    <x v="0"/>
    <x v="0"/>
    <n v="103.44"/>
    <x v="0"/>
    <s v="OK"/>
    <x v="1"/>
    <n v="7"/>
    <x v="1"/>
  </r>
  <r>
    <s v="CUST0192"/>
    <x v="2"/>
    <n v="9"/>
    <m/>
    <s v="YES"/>
    <n v="121.38"/>
    <n v="18"/>
    <s v="NAN"/>
    <x v="1"/>
    <x v="2"/>
    <n v="121.38"/>
    <x v="0"/>
    <s v="MISSING DELIVERY STATUS"/>
    <x v="2"/>
    <n v="7"/>
    <x v="2"/>
  </r>
  <r>
    <s v="CUST0030"/>
    <x v="1"/>
    <n v="6"/>
    <n v="7"/>
    <s v="NO"/>
    <n v="44.5"/>
    <m/>
    <s v="OTHER"/>
    <x v="0"/>
    <x v="2"/>
    <n v="44.5"/>
    <x v="0"/>
    <s v="OK"/>
    <x v="0"/>
    <n v="10"/>
    <x v="1"/>
  </r>
  <r>
    <s v="CUST0547"/>
    <x v="0"/>
    <n v="4"/>
    <n v="4"/>
    <s v="YES"/>
    <n v="97.71"/>
    <n v="51"/>
    <s v="M"/>
    <x v="1"/>
    <x v="0"/>
    <n v="97.71"/>
    <x v="0"/>
    <s v="OK"/>
    <x v="1"/>
    <n v="5"/>
    <x v="1"/>
  </r>
  <r>
    <s v="CUST0886"/>
    <x v="0"/>
    <n v="8"/>
    <n v="4"/>
    <s v="NO"/>
    <n v="85.58"/>
    <n v="43"/>
    <s v="MALE"/>
    <x v="0"/>
    <x v="0"/>
    <n v="85.58"/>
    <x v="0"/>
    <s v="OK"/>
    <x v="1"/>
    <n v="5"/>
    <x v="1"/>
  </r>
  <r>
    <s v="CUST0826"/>
    <x v="1"/>
    <m/>
    <n v="6"/>
    <s v="Y"/>
    <n v="190.33"/>
    <n v="46"/>
    <s v="PREFER NOT TO SAY"/>
    <x v="1"/>
    <x v="2"/>
    <n v="190.33"/>
    <x v="1"/>
    <s v="OK"/>
    <x v="1"/>
    <n v="10"/>
    <x v="1"/>
  </r>
  <r>
    <s v="CUST0615"/>
    <x v="4"/>
    <n v="10"/>
    <m/>
    <s v="Y"/>
    <n v="127.35"/>
    <n v="46"/>
    <s v="F"/>
    <x v="1"/>
    <x v="1"/>
    <n v="127.35"/>
    <x v="0"/>
    <s v="MISSING DELIVERY STATUS"/>
    <x v="1"/>
    <n v="7"/>
    <x v="2"/>
  </r>
  <r>
    <s v="CUST0112"/>
    <x v="2"/>
    <n v="7"/>
    <n v="7"/>
    <s v="YES"/>
    <n v="7.47"/>
    <n v="38"/>
    <s v="OTHER"/>
    <x v="1"/>
    <x v="2"/>
    <n v="7.47"/>
    <x v="0"/>
    <s v="OK"/>
    <x v="1"/>
    <n v="7"/>
    <x v="1"/>
  </r>
  <r>
    <s v="CUST0672"/>
    <x v="4"/>
    <n v="9"/>
    <n v="7"/>
    <s v="NO"/>
    <n v="41.56"/>
    <n v="57"/>
    <s v="M"/>
    <x v="0"/>
    <x v="0"/>
    <n v="41.56"/>
    <x v="0"/>
    <s v="OK"/>
    <x v="1"/>
    <n v="7"/>
    <x v="1"/>
  </r>
  <r>
    <s v="CUST0607"/>
    <x v="2"/>
    <n v="7"/>
    <n v="7"/>
    <s v="Y"/>
    <n v="90.11"/>
    <n v="22"/>
    <s v="OTHER"/>
    <x v="1"/>
    <x v="2"/>
    <n v="90.11"/>
    <x v="0"/>
    <s v="OK"/>
    <x v="2"/>
    <n v="7"/>
    <x v="1"/>
  </r>
  <r>
    <s v="CUST0457"/>
    <x v="4"/>
    <n v="5"/>
    <n v="4"/>
    <s v="NO"/>
    <n v="77.02"/>
    <n v="58"/>
    <s v="F"/>
    <x v="0"/>
    <x v="1"/>
    <n v="77.02"/>
    <x v="0"/>
    <s v="OK"/>
    <x v="1"/>
    <n v="7"/>
    <x v="1"/>
  </r>
  <r>
    <s v="CUST0179"/>
    <x v="0"/>
    <n v="9"/>
    <n v="6"/>
    <s v="YES"/>
    <n v="186.17"/>
    <n v="31"/>
    <s v="PREFER NOT TO SAY"/>
    <x v="1"/>
    <x v="2"/>
    <n v="186.17"/>
    <x v="0"/>
    <s v="OK"/>
    <x v="1"/>
    <n v="5"/>
    <x v="0"/>
  </r>
  <r>
    <s v="CUST0723"/>
    <x v="1"/>
    <n v="6"/>
    <n v="4"/>
    <s v="NO"/>
    <n v="68.53"/>
    <n v="28"/>
    <s v="PREFER NOT TO SAY"/>
    <x v="0"/>
    <x v="2"/>
    <n v="68.53"/>
    <x v="0"/>
    <s v="OK"/>
    <x v="2"/>
    <n v="10"/>
    <x v="1"/>
  </r>
  <r>
    <s v="CUST0789"/>
    <x v="1"/>
    <m/>
    <n v="3"/>
    <s v="Y"/>
    <n v="149.51"/>
    <n v="13"/>
    <s v=""/>
    <x v="1"/>
    <x v="2"/>
    <n v="149.51"/>
    <x v="1"/>
    <s v="OK"/>
    <x v="4"/>
    <n v="10"/>
    <x v="1"/>
  </r>
  <r>
    <s v="CUST0043"/>
    <x v="4"/>
    <n v="9"/>
    <n v="5"/>
    <s v="NO"/>
    <n v="11246"/>
    <n v="52"/>
    <s v="MALE"/>
    <x v="0"/>
    <x v="0"/>
    <n v="11246"/>
    <x v="0"/>
    <s v="OK"/>
    <x v="1"/>
    <n v="7"/>
    <x v="1"/>
  </r>
  <r>
    <s v="CUST0680"/>
    <x v="4"/>
    <n v="5"/>
    <n v="4"/>
    <s v="Y"/>
    <n v="32.090000000000003"/>
    <n v="47"/>
    <s v="F"/>
    <x v="1"/>
    <x v="1"/>
    <n v="32.090000000000003"/>
    <x v="0"/>
    <s v="OK"/>
    <x v="1"/>
    <n v="7"/>
    <x v="1"/>
  </r>
  <r>
    <s v="CUST0552"/>
    <x v="1"/>
    <n v="8"/>
    <n v="6"/>
    <s v="N"/>
    <n v="144.93"/>
    <n v="25"/>
    <s v="M"/>
    <x v="0"/>
    <x v="0"/>
    <n v="144.93"/>
    <x v="0"/>
    <s v="OK"/>
    <x v="2"/>
    <n v="10"/>
    <x v="1"/>
  </r>
  <r>
    <s v="CUST0857"/>
    <x v="2"/>
    <n v="6"/>
    <n v="9"/>
    <s v="NAN"/>
    <n v="100.76"/>
    <n v="42"/>
    <s v="OTHER"/>
    <x v="2"/>
    <x v="2"/>
    <n v="100.76"/>
    <x v="0"/>
    <s v="OK"/>
    <x v="1"/>
    <n v="7"/>
    <x v="0"/>
  </r>
  <r>
    <s v="CUST0246"/>
    <x v="4"/>
    <n v="10"/>
    <n v="3"/>
    <s v="NO"/>
    <n v="154.38999999999999"/>
    <n v="37"/>
    <s v="PREFER NOT TO SAY"/>
    <x v="0"/>
    <x v="2"/>
    <n v="154.38999999999999"/>
    <x v="0"/>
    <s v="OK"/>
    <x v="1"/>
    <n v="7"/>
    <x v="1"/>
  </r>
  <r>
    <s v="CUST0708"/>
    <x v="1"/>
    <n v="7"/>
    <n v="3"/>
    <s v="YES"/>
    <n v="206.03"/>
    <n v="11"/>
    <s v="M"/>
    <x v="1"/>
    <x v="0"/>
    <n v="206.03"/>
    <x v="0"/>
    <s v="OK"/>
    <x v="4"/>
    <n v="10"/>
    <x v="1"/>
  </r>
  <r>
    <s v="CUST0922"/>
    <x v="2"/>
    <n v="7"/>
    <n v="5"/>
    <s v="NAN"/>
    <n v="84.93"/>
    <n v="46"/>
    <s v=""/>
    <x v="2"/>
    <x v="2"/>
    <n v="84.93"/>
    <x v="0"/>
    <s v="OK"/>
    <x v="1"/>
    <n v="7"/>
    <x v="1"/>
  </r>
  <r>
    <s v="CUST0721"/>
    <x v="4"/>
    <n v="8"/>
    <n v="3"/>
    <s v="YES"/>
    <n v="71.39"/>
    <n v="31"/>
    <s v="OTHER"/>
    <x v="1"/>
    <x v="2"/>
    <n v="71.39"/>
    <x v="0"/>
    <s v="OK"/>
    <x v="1"/>
    <n v="7"/>
    <x v="1"/>
  </r>
  <r>
    <s v="CUST0170"/>
    <x v="4"/>
    <n v="6"/>
    <n v="6"/>
    <s v="Y"/>
    <n v="90.66"/>
    <n v="32"/>
    <s v=""/>
    <x v="1"/>
    <x v="2"/>
    <n v="90.66"/>
    <x v="0"/>
    <s v="OK"/>
    <x v="1"/>
    <n v="7"/>
    <x v="1"/>
  </r>
  <r>
    <s v="CUST0187"/>
    <x v="4"/>
    <n v="8"/>
    <n v="6"/>
    <s v="YES"/>
    <n v="89.18"/>
    <n v="24"/>
    <s v="FEMALE"/>
    <x v="1"/>
    <x v="1"/>
    <n v="89.18"/>
    <x v="0"/>
    <s v="OK"/>
    <x v="2"/>
    <n v="7"/>
    <x v="1"/>
  </r>
  <r>
    <s v="CUST0412"/>
    <x v="1"/>
    <n v="8"/>
    <n v="3"/>
    <s v="Y"/>
    <n v="37.72"/>
    <n v="26"/>
    <s v="NAN"/>
    <x v="1"/>
    <x v="2"/>
    <n v="37.72"/>
    <x v="0"/>
    <s v="OK"/>
    <x v="2"/>
    <n v="10"/>
    <x v="1"/>
  </r>
  <r>
    <s v="CUST1000"/>
    <x v="2"/>
    <n v="8"/>
    <n v="3"/>
    <s v="Y"/>
    <n v="157.35"/>
    <n v="16"/>
    <s v="OTHER"/>
    <x v="1"/>
    <x v="2"/>
    <n v="157.35"/>
    <x v="0"/>
    <s v="OK"/>
    <x v="2"/>
    <n v="7"/>
    <x v="1"/>
  </r>
  <r>
    <s v="CUST0703"/>
    <x v="0"/>
    <n v="6"/>
    <n v="4"/>
    <s v="NO"/>
    <n v="103.21"/>
    <n v="39"/>
    <s v="OTHER"/>
    <x v="0"/>
    <x v="2"/>
    <n v="103.21"/>
    <x v="0"/>
    <s v="OK"/>
    <x v="1"/>
    <n v="5"/>
    <x v="1"/>
  </r>
  <r>
    <s v="CUST0045"/>
    <x v="1"/>
    <n v="5"/>
    <n v="6"/>
    <s v="NO"/>
    <n v="59.27"/>
    <n v="53"/>
    <s v="MALE"/>
    <x v="0"/>
    <x v="0"/>
    <n v="59.27"/>
    <x v="0"/>
    <s v="OK"/>
    <x v="1"/>
    <n v="10"/>
    <x v="1"/>
  </r>
  <r>
    <s v="CUST0563"/>
    <x v="3"/>
    <n v="7"/>
    <n v="7"/>
    <s v="YES"/>
    <n v="70.5"/>
    <n v="52"/>
    <s v=""/>
    <x v="1"/>
    <x v="2"/>
    <n v="70.5"/>
    <x v="0"/>
    <s v="OK"/>
    <x v="1"/>
    <s v="NA"/>
    <x v="2"/>
  </r>
  <r>
    <s v="CUST0273"/>
    <x v="1"/>
    <n v="7"/>
    <n v="3"/>
    <s v="NAN"/>
    <n v="104.84"/>
    <n v="33"/>
    <s v="MALE"/>
    <x v="2"/>
    <x v="0"/>
    <n v="104.84"/>
    <x v="0"/>
    <s v="OK"/>
    <x v="1"/>
    <n v="10"/>
    <x v="1"/>
  </r>
  <r>
    <s v="CUST0015"/>
    <x v="1"/>
    <n v="4"/>
    <n v="3"/>
    <s v="YES"/>
    <n v="141.46"/>
    <n v="58"/>
    <s v="M"/>
    <x v="1"/>
    <x v="0"/>
    <n v="141.46"/>
    <x v="0"/>
    <s v="OK"/>
    <x v="1"/>
    <n v="10"/>
    <x v="1"/>
  </r>
  <r>
    <s v="CUST0436"/>
    <x v="1"/>
    <n v="10"/>
    <n v="5"/>
    <s v="NO"/>
    <n v="113.74"/>
    <n v="45"/>
    <s v="NAN"/>
    <x v="0"/>
    <x v="2"/>
    <n v="113.74"/>
    <x v="0"/>
    <s v="OK"/>
    <x v="1"/>
    <n v="10"/>
    <x v="1"/>
  </r>
  <r>
    <s v="CUST0406"/>
    <x v="1"/>
    <n v="7"/>
    <n v="5"/>
    <s v="YES"/>
    <n v="112.63"/>
    <n v="21"/>
    <s v="OTHER"/>
    <x v="1"/>
    <x v="2"/>
    <n v="112.63"/>
    <x v="0"/>
    <s v="OK"/>
    <x v="2"/>
    <n v="10"/>
    <x v="1"/>
  </r>
  <r>
    <s v="CUST0214"/>
    <x v="2"/>
    <n v="8"/>
    <n v="4"/>
    <s v="NO"/>
    <n v="171.47"/>
    <n v="48"/>
    <s v="F"/>
    <x v="0"/>
    <x v="1"/>
    <n v="171.47"/>
    <x v="0"/>
    <s v="OK"/>
    <x v="1"/>
    <n v="7"/>
    <x v="1"/>
  </r>
  <r>
    <s v="CUST0360"/>
    <x v="2"/>
    <n v="6"/>
    <n v="5"/>
    <s v="YES"/>
    <n v="191.38"/>
    <n v="41"/>
    <s v="NAN"/>
    <x v="1"/>
    <x v="2"/>
    <n v="191.38"/>
    <x v="0"/>
    <s v="OK"/>
    <x v="1"/>
    <n v="7"/>
    <x v="1"/>
  </r>
  <r>
    <s v="CUST0293"/>
    <x v="0"/>
    <n v="9"/>
    <n v="7"/>
    <s v="NAN"/>
    <n v="133.87"/>
    <n v="39"/>
    <s v="F"/>
    <x v="2"/>
    <x v="1"/>
    <n v="133.87"/>
    <x v="0"/>
    <s v="OK"/>
    <x v="1"/>
    <n v="5"/>
    <x v="0"/>
  </r>
  <r>
    <s v="GUEST"/>
    <x v="1"/>
    <n v="6"/>
    <n v="4"/>
    <s v="Y"/>
    <n v="114.43"/>
    <n v="53"/>
    <s v="MALE"/>
    <x v="1"/>
    <x v="0"/>
    <n v="114.43"/>
    <x v="0"/>
    <s v="OK"/>
    <x v="1"/>
    <n v="10"/>
    <x v="1"/>
  </r>
  <r>
    <s v="GUEST"/>
    <x v="0"/>
    <n v="10"/>
    <n v="7"/>
    <s v="N"/>
    <n v="77.34"/>
    <n v="32"/>
    <s v="OTHER"/>
    <x v="0"/>
    <x v="2"/>
    <n v="77.34"/>
    <x v="0"/>
    <s v="OK"/>
    <x v="1"/>
    <n v="5"/>
    <x v="0"/>
  </r>
  <r>
    <s v="CUST0509"/>
    <x v="1"/>
    <n v="10"/>
    <n v="5"/>
    <s v=""/>
    <n v="89.33"/>
    <n v="33"/>
    <s v="M"/>
    <x v="2"/>
    <x v="0"/>
    <n v="89.33"/>
    <x v="0"/>
    <s v="OK"/>
    <x v="1"/>
    <n v="10"/>
    <x v="1"/>
  </r>
  <r>
    <s v="CUST0783"/>
    <x v="1"/>
    <n v="8"/>
    <n v="5"/>
    <s v="NO"/>
    <n v="24.59"/>
    <n v="44"/>
    <s v=""/>
    <x v="0"/>
    <x v="2"/>
    <n v="24.59"/>
    <x v="0"/>
    <s v="OK"/>
    <x v="1"/>
    <n v="10"/>
    <x v="1"/>
  </r>
  <r>
    <s v="CUST0274"/>
    <x v="1"/>
    <n v="7"/>
    <n v="7"/>
    <s v="N"/>
    <n v="74.81"/>
    <n v="30"/>
    <s v="PREFER NOT TO SAY"/>
    <x v="0"/>
    <x v="2"/>
    <n v="74.81"/>
    <x v="0"/>
    <s v="OK"/>
    <x v="1"/>
    <n v="10"/>
    <x v="1"/>
  </r>
  <r>
    <s v="CUST0586"/>
    <x v="2"/>
    <n v="6"/>
    <n v="-1"/>
    <s v="YES"/>
    <n v="128.84"/>
    <n v="5"/>
    <s v="NAN"/>
    <x v="1"/>
    <x v="2"/>
    <n v="128.84"/>
    <x v="0"/>
    <s v="NEGATIVE DAYS"/>
    <x v="4"/>
    <n v="7"/>
    <x v="1"/>
  </r>
  <r>
    <s v="CUST0883"/>
    <x v="2"/>
    <n v="6"/>
    <n v="4"/>
    <s v="NAN"/>
    <n v="123.94"/>
    <n v="19"/>
    <s v="FEMALE"/>
    <x v="2"/>
    <x v="1"/>
    <n v="123.94"/>
    <x v="0"/>
    <s v="OK"/>
    <x v="2"/>
    <n v="7"/>
    <x v="1"/>
  </r>
  <r>
    <s v="CUST0133"/>
    <x v="0"/>
    <n v="7"/>
    <n v="3"/>
    <s v="NO"/>
    <n v="107.45"/>
    <n v="14"/>
    <s v="PREFER NOT TO SAY"/>
    <x v="0"/>
    <x v="2"/>
    <n v="107.45"/>
    <x v="0"/>
    <s v="OK"/>
    <x v="4"/>
    <n v="5"/>
    <x v="1"/>
  </r>
  <r>
    <s v="CUST0154"/>
    <x v="2"/>
    <n v="6"/>
    <n v="-1"/>
    <s v="YES"/>
    <n v="83.57"/>
    <n v="31"/>
    <s v="FEMALE"/>
    <x v="1"/>
    <x v="1"/>
    <n v="83.57"/>
    <x v="0"/>
    <s v="NEGATIVE DAYS"/>
    <x v="1"/>
    <n v="7"/>
    <x v="1"/>
  </r>
  <r>
    <s v="GUEST"/>
    <x v="2"/>
    <n v="11"/>
    <n v="8"/>
    <s v="YES"/>
    <n v="69.5"/>
    <n v="0"/>
    <s v="MALE"/>
    <x v="1"/>
    <x v="0"/>
    <n v="69.5"/>
    <x v="0"/>
    <s v="OK"/>
    <x v="4"/>
    <n v="7"/>
    <x v="0"/>
  </r>
  <r>
    <s v="CUST0916"/>
    <x v="4"/>
    <n v="9"/>
    <n v="3"/>
    <s v=""/>
    <n v="60.51"/>
    <n v="22"/>
    <s v="PREFER NOT TO SAY"/>
    <x v="2"/>
    <x v="2"/>
    <n v="60.51"/>
    <x v="0"/>
    <s v="OK"/>
    <x v="2"/>
    <n v="7"/>
    <x v="1"/>
  </r>
  <r>
    <s v="CUST0995"/>
    <x v="1"/>
    <n v="8"/>
    <n v="3"/>
    <s v="YES"/>
    <n v="170.51"/>
    <n v="23"/>
    <s v="PREFER NOT TO SAY"/>
    <x v="1"/>
    <x v="2"/>
    <n v="170.51"/>
    <x v="0"/>
    <s v="OK"/>
    <x v="2"/>
    <n v="10"/>
    <x v="1"/>
  </r>
  <r>
    <s v="CUST0997"/>
    <x v="0"/>
    <m/>
    <n v="6"/>
    <s v="NAN"/>
    <n v="83.6"/>
    <n v="39"/>
    <s v="PREFER NOT TO SAY"/>
    <x v="2"/>
    <x v="2"/>
    <n v="83.6"/>
    <x v="1"/>
    <s v="OK"/>
    <x v="1"/>
    <n v="5"/>
    <x v="0"/>
  </r>
  <r>
    <s v="CUST0468"/>
    <x v="0"/>
    <n v="9"/>
    <n v="7"/>
    <s v="Y"/>
    <n v="213.92"/>
    <n v="46"/>
    <s v="FEMALE"/>
    <x v="1"/>
    <x v="1"/>
    <n v="213.92"/>
    <x v="0"/>
    <s v="OK"/>
    <x v="1"/>
    <n v="5"/>
    <x v="0"/>
  </r>
  <r>
    <s v="CUST0871"/>
    <x v="0"/>
    <n v="10"/>
    <n v="7"/>
    <s v="Y"/>
    <n v="17.23"/>
    <n v="5"/>
    <s v="NAN"/>
    <x v="1"/>
    <x v="2"/>
    <n v="17.23"/>
    <x v="0"/>
    <s v="OK"/>
    <x v="4"/>
    <n v="5"/>
    <x v="0"/>
  </r>
  <r>
    <s v="CUST0936"/>
    <x v="0"/>
    <n v="8"/>
    <n v="7"/>
    <s v="NO"/>
    <n v="76.61"/>
    <n v="41"/>
    <s v="M"/>
    <x v="0"/>
    <x v="0"/>
    <n v="76.61"/>
    <x v="0"/>
    <s v="OK"/>
    <x v="1"/>
    <n v="5"/>
    <x v="0"/>
  </r>
  <r>
    <s v="CUST0497"/>
    <x v="2"/>
    <n v="6"/>
    <n v="3"/>
    <s v="NO"/>
    <n v="110.9"/>
    <n v="45"/>
    <s v="F"/>
    <x v="0"/>
    <x v="1"/>
    <n v="110.9"/>
    <x v="0"/>
    <s v="OK"/>
    <x v="1"/>
    <n v="7"/>
    <x v="1"/>
  </r>
  <r>
    <s v="CUST0553"/>
    <x v="0"/>
    <n v="7"/>
    <n v="7"/>
    <s v="NO"/>
    <n v="127.98"/>
    <n v="47"/>
    <s v="M"/>
    <x v="0"/>
    <x v="0"/>
    <n v="127.98"/>
    <x v="0"/>
    <s v="OK"/>
    <x v="1"/>
    <n v="5"/>
    <x v="0"/>
  </r>
  <r>
    <s v="CUST0583"/>
    <x v="1"/>
    <n v="7"/>
    <n v="5"/>
    <s v=""/>
    <n v="23.92"/>
    <n v="32"/>
    <s v="FEMALE"/>
    <x v="2"/>
    <x v="1"/>
    <n v="23.92"/>
    <x v="0"/>
    <s v="OK"/>
    <x v="1"/>
    <n v="10"/>
    <x v="1"/>
  </r>
  <r>
    <s v="CUST0150"/>
    <x v="1"/>
    <n v="7"/>
    <n v="2"/>
    <s v="NO"/>
    <n v="151.43"/>
    <n v="27"/>
    <s v=""/>
    <x v="0"/>
    <x v="2"/>
    <n v="151.43"/>
    <x v="0"/>
    <s v="OK"/>
    <x v="2"/>
    <n v="10"/>
    <x v="1"/>
  </r>
  <r>
    <s v="CUST0914"/>
    <x v="4"/>
    <n v="8"/>
    <n v="2"/>
    <s v="YES"/>
    <n v="151.49"/>
    <n v="20"/>
    <s v="MALE"/>
    <x v="1"/>
    <x v="0"/>
    <n v="151.49"/>
    <x v="0"/>
    <s v="OK"/>
    <x v="2"/>
    <n v="7"/>
    <x v="1"/>
  </r>
  <r>
    <s v="CUST0003"/>
    <x v="0"/>
    <n v="9"/>
    <n v="5"/>
    <s v="N"/>
    <n v="65.88"/>
    <n v="26"/>
    <s v="M"/>
    <x v="0"/>
    <x v="0"/>
    <n v="65.88"/>
    <x v="0"/>
    <s v="OK"/>
    <x v="2"/>
    <n v="5"/>
    <x v="1"/>
  </r>
  <r>
    <s v="CUST0252"/>
    <x v="0"/>
    <n v="7"/>
    <n v="6"/>
    <s v="NAN"/>
    <n v="163.07"/>
    <n v="17"/>
    <s v="M"/>
    <x v="2"/>
    <x v="0"/>
    <n v="163.07"/>
    <x v="0"/>
    <s v="OK"/>
    <x v="2"/>
    <n v="5"/>
    <x v="0"/>
  </r>
  <r>
    <s v="CUST0211"/>
    <x v="2"/>
    <n v="6"/>
    <n v="6"/>
    <s v="Y"/>
    <n v="117.68"/>
    <n v="27"/>
    <s v=""/>
    <x v="1"/>
    <x v="2"/>
    <n v="117.68"/>
    <x v="0"/>
    <s v="OK"/>
    <x v="2"/>
    <n v="7"/>
    <x v="1"/>
  </r>
  <r>
    <s v="CUST0738"/>
    <x v="0"/>
    <n v="5"/>
    <n v="4"/>
    <s v="YES"/>
    <n v="149.97"/>
    <n v="28"/>
    <s v="NAN"/>
    <x v="1"/>
    <x v="2"/>
    <n v="149.97"/>
    <x v="0"/>
    <s v="OK"/>
    <x v="2"/>
    <n v="5"/>
    <x v="1"/>
  </r>
  <r>
    <s v="CUST0462"/>
    <x v="0"/>
    <n v="12"/>
    <n v="3"/>
    <s v="NO"/>
    <n v="87.99"/>
    <n v="19"/>
    <s v="MALE"/>
    <x v="0"/>
    <x v="0"/>
    <n v="87.99"/>
    <x v="0"/>
    <s v="OK"/>
    <x v="2"/>
    <n v="5"/>
    <x v="1"/>
  </r>
  <r>
    <s v="CUST0401"/>
    <x v="1"/>
    <n v="9"/>
    <m/>
    <s v="Y"/>
    <n v="105.56"/>
    <n v="59"/>
    <s v="OTHER"/>
    <x v="1"/>
    <x v="2"/>
    <n v="105.56"/>
    <x v="0"/>
    <s v="MISSING DELIVERY STATUS"/>
    <x v="1"/>
    <n v="10"/>
    <x v="2"/>
  </r>
  <r>
    <s v="CUST0717"/>
    <x v="2"/>
    <n v="11"/>
    <n v="3"/>
    <s v="N"/>
    <n v="17794"/>
    <n v="29"/>
    <s v="OTHER"/>
    <x v="0"/>
    <x v="2"/>
    <n v="17794"/>
    <x v="0"/>
    <s v="OK"/>
    <x v="2"/>
    <n v="7"/>
    <x v="1"/>
  </r>
  <r>
    <s v="GUEST"/>
    <x v="1"/>
    <n v="8"/>
    <n v="7"/>
    <s v="YES"/>
    <n v="60.78"/>
    <n v="38"/>
    <s v="PREFER NOT TO SAY"/>
    <x v="1"/>
    <x v="2"/>
    <n v="60.78"/>
    <x v="0"/>
    <s v="OK"/>
    <x v="1"/>
    <n v="10"/>
    <x v="1"/>
  </r>
  <r>
    <s v="CUST0536"/>
    <x v="4"/>
    <n v="5"/>
    <n v="6"/>
    <s v="Y"/>
    <n v="60.41"/>
    <n v="53"/>
    <s v="M"/>
    <x v="1"/>
    <x v="0"/>
    <n v="60.41"/>
    <x v="0"/>
    <s v="OK"/>
    <x v="1"/>
    <n v="7"/>
    <x v="1"/>
  </r>
  <r>
    <s v="GUEST"/>
    <x v="1"/>
    <n v="9"/>
    <n v="4"/>
    <s v="N"/>
    <n v="199.49"/>
    <n v="29"/>
    <s v="PREFER NOT TO SAY"/>
    <x v="0"/>
    <x v="2"/>
    <n v="199.49"/>
    <x v="0"/>
    <s v="OK"/>
    <x v="2"/>
    <n v="10"/>
    <x v="1"/>
  </r>
  <r>
    <s v="CUST0209"/>
    <x v="4"/>
    <n v="9"/>
    <n v="0"/>
    <s v="NO"/>
    <n v="100.71"/>
    <n v="38"/>
    <s v="F"/>
    <x v="0"/>
    <x v="1"/>
    <n v="100.71"/>
    <x v="0"/>
    <s v="OK"/>
    <x v="1"/>
    <n v="7"/>
    <x v="1"/>
  </r>
  <r>
    <s v="CUST0881"/>
    <x v="3"/>
    <n v="7"/>
    <n v="1"/>
    <s v="N"/>
    <n v="29.54"/>
    <n v="37"/>
    <s v="NAN"/>
    <x v="0"/>
    <x v="2"/>
    <n v="29.54"/>
    <x v="0"/>
    <s v="OK"/>
    <x v="1"/>
    <s v="NA"/>
    <x v="2"/>
  </r>
  <r>
    <s v="CUST0838"/>
    <x v="0"/>
    <n v="8"/>
    <n v="5"/>
    <s v="NO"/>
    <n v="130.41"/>
    <n v="11"/>
    <s v="PREFER NOT TO SAY"/>
    <x v="0"/>
    <x v="2"/>
    <n v="130.41"/>
    <x v="0"/>
    <s v="OK"/>
    <x v="4"/>
    <n v="5"/>
    <x v="1"/>
  </r>
  <r>
    <s v="CUST0632"/>
    <x v="1"/>
    <n v="6"/>
    <n v="1"/>
    <s v="N"/>
    <n v="83.83"/>
    <n v="29"/>
    <s v="M"/>
    <x v="0"/>
    <x v="0"/>
    <n v="83.83"/>
    <x v="0"/>
    <s v="OK"/>
    <x v="2"/>
    <n v="10"/>
    <x v="1"/>
  </r>
  <r>
    <s v="CUST0725"/>
    <x v="0"/>
    <n v="7"/>
    <n v="4"/>
    <s v="NAN"/>
    <n v="126.13"/>
    <m/>
    <s v="MALE"/>
    <x v="2"/>
    <x v="0"/>
    <n v="126.13"/>
    <x v="0"/>
    <s v="OK"/>
    <x v="0"/>
    <n v="5"/>
    <x v="1"/>
  </r>
  <r>
    <s v="CUST0489"/>
    <x v="0"/>
    <n v="7"/>
    <n v="8"/>
    <s v="N"/>
    <n v="138.31"/>
    <n v="35"/>
    <s v="M"/>
    <x v="0"/>
    <x v="0"/>
    <n v="138.31"/>
    <x v="0"/>
    <s v="OK"/>
    <x v="1"/>
    <n v="5"/>
    <x v="0"/>
  </r>
  <r>
    <s v="CUST0478"/>
    <x v="1"/>
    <n v="11"/>
    <n v="2"/>
    <s v="NAN"/>
    <n v="164.33"/>
    <n v="58"/>
    <s v="PREFER NOT TO SAY"/>
    <x v="2"/>
    <x v="2"/>
    <n v="164.33"/>
    <x v="0"/>
    <s v="OK"/>
    <x v="1"/>
    <n v="10"/>
    <x v="1"/>
  </r>
  <r>
    <s v="CUST0550"/>
    <x v="2"/>
    <n v="6"/>
    <n v="2"/>
    <s v="NO"/>
    <n v="121.68"/>
    <n v="63"/>
    <s v="OTHER"/>
    <x v="0"/>
    <x v="2"/>
    <n v="121.68"/>
    <x v="0"/>
    <s v="OK"/>
    <x v="3"/>
    <n v="7"/>
    <x v="1"/>
  </r>
  <r>
    <s v="CUST0994"/>
    <x v="1"/>
    <n v="11"/>
    <n v="6"/>
    <s v="NO"/>
    <n v="126.68"/>
    <n v="56"/>
    <s v="MALE"/>
    <x v="0"/>
    <x v="0"/>
    <n v="126.68"/>
    <x v="0"/>
    <s v="OK"/>
    <x v="1"/>
    <n v="10"/>
    <x v="1"/>
  </r>
  <r>
    <s v="CUST0176"/>
    <x v="4"/>
    <n v="11"/>
    <n v="4"/>
    <s v="NAN"/>
    <n v="84.38"/>
    <n v="63"/>
    <s v="FEMALE"/>
    <x v="2"/>
    <x v="1"/>
    <n v="84.38"/>
    <x v="0"/>
    <s v="OK"/>
    <x v="3"/>
    <n v="7"/>
    <x v="1"/>
  </r>
  <r>
    <s v="CUST0644"/>
    <x v="3"/>
    <n v="5"/>
    <n v="4"/>
    <s v="YES"/>
    <n v="34.39"/>
    <n v="34"/>
    <s v="NAN"/>
    <x v="1"/>
    <x v="2"/>
    <n v="34.39"/>
    <x v="0"/>
    <s v="OK"/>
    <x v="1"/>
    <s v="NA"/>
    <x v="2"/>
  </r>
  <r>
    <s v="CUST0343"/>
    <x v="2"/>
    <n v="6"/>
    <n v="6"/>
    <s v="NO"/>
    <n v="157.22999999999999"/>
    <n v="35"/>
    <s v="M"/>
    <x v="0"/>
    <x v="0"/>
    <n v="157.22999999999999"/>
    <x v="0"/>
    <s v="OK"/>
    <x v="1"/>
    <n v="7"/>
    <x v="1"/>
  </r>
  <r>
    <s v="CUST0831"/>
    <x v="0"/>
    <n v="6"/>
    <n v="4"/>
    <s v="NO"/>
    <n v="70.349999999999994"/>
    <n v="17"/>
    <s v="FEMALE"/>
    <x v="0"/>
    <x v="1"/>
    <n v="70.349999999999994"/>
    <x v="0"/>
    <s v="OK"/>
    <x v="2"/>
    <n v="5"/>
    <x v="1"/>
  </r>
  <r>
    <s v="CUST0492"/>
    <x v="0"/>
    <n v="7"/>
    <n v="5"/>
    <s v="N"/>
    <n v="41.26"/>
    <n v="22"/>
    <s v="F"/>
    <x v="0"/>
    <x v="1"/>
    <n v="41.26"/>
    <x v="0"/>
    <s v="OK"/>
    <x v="2"/>
    <n v="5"/>
    <x v="1"/>
  </r>
  <r>
    <s v="CUST0608"/>
    <x v="1"/>
    <n v="6"/>
    <n v="6"/>
    <s v="NAN"/>
    <n v="109.46"/>
    <n v="30"/>
    <s v="PREFER NOT TO SAY"/>
    <x v="2"/>
    <x v="2"/>
    <n v="109.46"/>
    <x v="0"/>
    <s v="OK"/>
    <x v="1"/>
    <n v="10"/>
    <x v="1"/>
  </r>
  <r>
    <s v="CUST0235"/>
    <x v="1"/>
    <n v="5"/>
    <n v="5"/>
    <s v=""/>
    <n v="88.72"/>
    <n v="30"/>
    <s v="NAN"/>
    <x v="2"/>
    <x v="2"/>
    <n v="88.72"/>
    <x v="0"/>
    <s v="OK"/>
    <x v="1"/>
    <n v="10"/>
    <x v="1"/>
  </r>
  <r>
    <s v="CUST0456"/>
    <x v="2"/>
    <n v="8"/>
    <n v="1"/>
    <s v="NO"/>
    <n v="171.97"/>
    <n v="22"/>
    <s v="F"/>
    <x v="0"/>
    <x v="1"/>
    <n v="171.97"/>
    <x v="0"/>
    <s v="OK"/>
    <x v="2"/>
    <n v="7"/>
    <x v="1"/>
  </r>
  <r>
    <s v="CUST0057"/>
    <x v="1"/>
    <n v="3"/>
    <n v="5"/>
    <s v="NO"/>
    <n v="68"/>
    <n v="24"/>
    <s v="OTHER"/>
    <x v="0"/>
    <x v="2"/>
    <n v="68"/>
    <x v="0"/>
    <s v="OK"/>
    <x v="2"/>
    <n v="10"/>
    <x v="1"/>
  </r>
  <r>
    <s v="CUST0124"/>
    <x v="2"/>
    <m/>
    <n v="8"/>
    <s v="YES"/>
    <n v="140.49"/>
    <n v="37"/>
    <s v="NAN"/>
    <x v="1"/>
    <x v="2"/>
    <n v="140.49"/>
    <x v="1"/>
    <s v="OK"/>
    <x v="1"/>
    <n v="7"/>
    <x v="0"/>
  </r>
  <r>
    <s v="CUST0853"/>
    <x v="0"/>
    <n v="8"/>
    <n v="4"/>
    <s v="Y"/>
    <n v="31.59"/>
    <n v="33"/>
    <s v="FEMALE"/>
    <x v="1"/>
    <x v="1"/>
    <n v="31.59"/>
    <x v="0"/>
    <s v="OK"/>
    <x v="1"/>
    <n v="5"/>
    <x v="1"/>
  </r>
  <r>
    <s v="CUST0494"/>
    <x v="4"/>
    <m/>
    <n v="3"/>
    <s v="YES"/>
    <n v="71.05"/>
    <n v="33"/>
    <s v="F"/>
    <x v="1"/>
    <x v="1"/>
    <n v="71.05"/>
    <x v="1"/>
    <s v="OK"/>
    <x v="1"/>
    <n v="7"/>
    <x v="1"/>
  </r>
  <r>
    <s v="CUST0035"/>
    <x v="4"/>
    <n v="11"/>
    <n v="6"/>
    <s v="Y"/>
    <n v="67.459999999999994"/>
    <n v="26"/>
    <s v="MALE"/>
    <x v="1"/>
    <x v="0"/>
    <n v="67.459999999999994"/>
    <x v="0"/>
    <s v="OK"/>
    <x v="2"/>
    <n v="7"/>
    <x v="1"/>
  </r>
  <r>
    <s v="GUEST"/>
    <x v="3"/>
    <n v="7"/>
    <n v="2"/>
    <s v="YES"/>
    <n v="146.63999999999999"/>
    <n v="67"/>
    <s v="M"/>
    <x v="1"/>
    <x v="0"/>
    <n v="146.63999999999999"/>
    <x v="0"/>
    <s v="OK"/>
    <x v="3"/>
    <s v="NA"/>
    <x v="2"/>
  </r>
  <r>
    <s v="CUST0042"/>
    <x v="2"/>
    <n v="8"/>
    <m/>
    <s v="NO"/>
    <n v="84.93"/>
    <n v="51"/>
    <s v="FEMALE"/>
    <x v="0"/>
    <x v="1"/>
    <n v="84.93"/>
    <x v="0"/>
    <s v="MISSING DELIVERY STATUS"/>
    <x v="1"/>
    <n v="7"/>
    <x v="2"/>
  </r>
  <r>
    <s v="CUST0808"/>
    <x v="0"/>
    <n v="8"/>
    <n v="2"/>
    <s v="YES"/>
    <n v="138.77000000000001"/>
    <n v="37"/>
    <s v="NAN"/>
    <x v="1"/>
    <x v="2"/>
    <n v="138.77000000000001"/>
    <x v="0"/>
    <s v="OK"/>
    <x v="1"/>
    <n v="5"/>
    <x v="1"/>
  </r>
  <r>
    <s v="CUST0090"/>
    <x v="4"/>
    <n v="7"/>
    <m/>
    <s v="Y"/>
    <n v="81.39"/>
    <n v="58"/>
    <s v="M"/>
    <x v="1"/>
    <x v="0"/>
    <n v="81.39"/>
    <x v="0"/>
    <s v="MISSING DELIVERY STATUS"/>
    <x v="1"/>
    <n v="7"/>
    <x v="2"/>
  </r>
  <r>
    <s v="CUST0815"/>
    <x v="1"/>
    <n v="7"/>
    <n v="9"/>
    <s v="NAN"/>
    <n v="127.67"/>
    <n v="30"/>
    <s v="PREFER NOT TO SAY"/>
    <x v="2"/>
    <x v="2"/>
    <n v="127.67"/>
    <x v="0"/>
    <s v="OK"/>
    <x v="1"/>
    <n v="10"/>
    <x v="1"/>
  </r>
  <r>
    <s v="CUST0377"/>
    <x v="1"/>
    <n v="12"/>
    <n v="5"/>
    <s v="Y"/>
    <n v="90.72"/>
    <n v="37"/>
    <s v="NAN"/>
    <x v="1"/>
    <x v="2"/>
    <n v="90.72"/>
    <x v="0"/>
    <s v="OK"/>
    <x v="1"/>
    <n v="10"/>
    <x v="1"/>
  </r>
  <r>
    <s v="CUST0628"/>
    <x v="4"/>
    <n v="6"/>
    <n v="3"/>
    <s v="NO"/>
    <n v="105.1"/>
    <n v="25"/>
    <s v="MALE"/>
    <x v="0"/>
    <x v="0"/>
    <n v="105.1"/>
    <x v="0"/>
    <s v="OK"/>
    <x v="2"/>
    <n v="7"/>
    <x v="1"/>
  </r>
  <r>
    <s v="CUST0758"/>
    <x v="2"/>
    <n v="7"/>
    <n v="5"/>
    <s v="NO"/>
    <n v="109.38"/>
    <n v="25"/>
    <s v="FEMALE"/>
    <x v="0"/>
    <x v="1"/>
    <n v="109.38"/>
    <x v="0"/>
    <s v="OK"/>
    <x v="2"/>
    <n v="7"/>
    <x v="1"/>
  </r>
  <r>
    <s v="CUST0328"/>
    <x v="2"/>
    <n v="8"/>
    <n v="7"/>
    <s v="N"/>
    <n v="65.209999999999994"/>
    <n v="50"/>
    <s v="OTHER"/>
    <x v="0"/>
    <x v="2"/>
    <n v="65.209999999999994"/>
    <x v="0"/>
    <s v="OK"/>
    <x v="1"/>
    <n v="7"/>
    <x v="1"/>
  </r>
  <r>
    <s v="CUST0143"/>
    <x v="3"/>
    <n v="8"/>
    <n v="4"/>
    <s v="NAN"/>
    <n v="106.48"/>
    <n v="43"/>
    <s v="FEMALE"/>
    <x v="2"/>
    <x v="1"/>
    <n v="106.48"/>
    <x v="0"/>
    <s v="OK"/>
    <x v="1"/>
    <s v="NA"/>
    <x v="2"/>
  </r>
  <r>
    <s v="CUST0834"/>
    <x v="1"/>
    <n v="11"/>
    <n v="5"/>
    <s v="YES"/>
    <n v="146.87"/>
    <n v="52"/>
    <s v="PREFER NOT TO SAY"/>
    <x v="1"/>
    <x v="2"/>
    <n v="146.87"/>
    <x v="0"/>
    <s v="OK"/>
    <x v="1"/>
    <n v="10"/>
    <x v="1"/>
  </r>
  <r>
    <s v="CUST0391"/>
    <x v="2"/>
    <n v="6"/>
    <n v="4"/>
    <s v="NAN"/>
    <n v="109.82"/>
    <m/>
    <s v="MALE"/>
    <x v="2"/>
    <x v="0"/>
    <n v="109.82"/>
    <x v="0"/>
    <s v="OK"/>
    <x v="0"/>
    <n v="7"/>
    <x v="1"/>
  </r>
  <r>
    <s v="CUST0768"/>
    <x v="1"/>
    <m/>
    <n v="5"/>
    <s v="N"/>
    <n v="181.12"/>
    <n v="69"/>
    <s v="OTHER"/>
    <x v="0"/>
    <x v="2"/>
    <n v="181.12"/>
    <x v="1"/>
    <s v="OK"/>
    <x v="3"/>
    <n v="10"/>
    <x v="1"/>
  </r>
  <r>
    <s v="CUST0637"/>
    <x v="0"/>
    <n v="7"/>
    <n v="8"/>
    <s v="NO"/>
    <n v="30.31"/>
    <n v="42"/>
    <s v="NAN"/>
    <x v="0"/>
    <x v="2"/>
    <n v="30.31"/>
    <x v="0"/>
    <s v="OK"/>
    <x v="1"/>
    <n v="5"/>
    <x v="0"/>
  </r>
  <r>
    <s v="CUST0955"/>
    <x v="3"/>
    <n v="7"/>
    <n v="6"/>
    <s v="N"/>
    <n v="139.52000000000001"/>
    <n v="59"/>
    <s v="NAN"/>
    <x v="0"/>
    <x v="2"/>
    <n v="139.52000000000001"/>
    <x v="0"/>
    <s v="OK"/>
    <x v="1"/>
    <s v="NA"/>
    <x v="2"/>
  </r>
  <r>
    <s v="CUST0942"/>
    <x v="0"/>
    <n v="7"/>
    <n v="4"/>
    <s v="YES"/>
    <n v="103.43"/>
    <n v="27"/>
    <s v="PREFER NOT TO SAY"/>
    <x v="1"/>
    <x v="2"/>
    <n v="103.43"/>
    <x v="0"/>
    <s v="OK"/>
    <x v="2"/>
    <n v="5"/>
    <x v="1"/>
  </r>
  <r>
    <s v="CUST0577"/>
    <x v="0"/>
    <n v="7"/>
    <n v="6"/>
    <s v="Y"/>
    <n v="157.07"/>
    <n v="50"/>
    <s v="FEMALE"/>
    <x v="1"/>
    <x v="1"/>
    <n v="157.07"/>
    <x v="0"/>
    <s v="OK"/>
    <x v="1"/>
    <n v="5"/>
    <x v="0"/>
  </r>
  <r>
    <s v="CUST0331"/>
    <x v="0"/>
    <n v="7"/>
    <n v="6"/>
    <s v="N"/>
    <n v="81.16"/>
    <n v="15"/>
    <s v="NAN"/>
    <x v="0"/>
    <x v="2"/>
    <n v="81.16"/>
    <x v="0"/>
    <s v="OK"/>
    <x v="2"/>
    <n v="5"/>
    <x v="0"/>
  </r>
  <r>
    <s v="CUST0001"/>
    <x v="2"/>
    <n v="8"/>
    <n v="8"/>
    <s v="YES"/>
    <n v="126"/>
    <n v="37"/>
    <s v="PREFER NOT TO SAY"/>
    <x v="1"/>
    <x v="2"/>
    <n v="126"/>
    <x v="0"/>
    <s v="OK"/>
    <x v="1"/>
    <n v="7"/>
    <x v="0"/>
  </r>
  <r>
    <s v="CUST0481"/>
    <x v="1"/>
    <n v="8"/>
    <n v="7"/>
    <s v="YES"/>
    <n v="74.040000000000006"/>
    <n v="48"/>
    <s v="OTHER"/>
    <x v="1"/>
    <x v="2"/>
    <n v="74.040000000000006"/>
    <x v="0"/>
    <s v="OK"/>
    <x v="1"/>
    <n v="10"/>
    <x v="1"/>
  </r>
  <r>
    <s v="CUST0115"/>
    <x v="2"/>
    <n v="9"/>
    <n v="7"/>
    <s v="Y"/>
    <n v="39.549999999999997"/>
    <n v="29"/>
    <s v="M"/>
    <x v="1"/>
    <x v="0"/>
    <n v="39.549999999999997"/>
    <x v="0"/>
    <s v="OK"/>
    <x v="2"/>
    <n v="7"/>
    <x v="1"/>
  </r>
  <r>
    <s v="CUST0002"/>
    <x v="1"/>
    <n v="11"/>
    <n v="8"/>
    <s v="NO"/>
    <n v="51.11"/>
    <n v="26"/>
    <s v="FEMALE"/>
    <x v="0"/>
    <x v="1"/>
    <n v="51.11"/>
    <x v="0"/>
    <s v="OK"/>
    <x v="2"/>
    <n v="10"/>
    <x v="1"/>
  </r>
  <r>
    <s v="CUST0132"/>
    <x v="0"/>
    <n v="5"/>
    <n v="6"/>
    <s v="YES"/>
    <n v="95.14"/>
    <n v="40"/>
    <s v="NAN"/>
    <x v="1"/>
    <x v="2"/>
    <n v="95.14"/>
    <x v="0"/>
    <s v="OK"/>
    <x v="1"/>
    <n v="5"/>
    <x v="0"/>
  </r>
  <r>
    <s v="CUST0480"/>
    <x v="1"/>
    <n v="6"/>
    <n v="2"/>
    <s v="NO"/>
    <n v="168.31"/>
    <n v="8"/>
    <s v="PREFER NOT TO SAY"/>
    <x v="0"/>
    <x v="2"/>
    <n v="168.31"/>
    <x v="0"/>
    <s v="OK"/>
    <x v="4"/>
    <n v="10"/>
    <x v="1"/>
  </r>
  <r>
    <s v="CUST0745"/>
    <x v="2"/>
    <n v="8"/>
    <n v="6"/>
    <s v="NO"/>
    <n v="86.17"/>
    <n v="37"/>
    <s v="PREFER NOT TO SAY"/>
    <x v="0"/>
    <x v="2"/>
    <n v="86.17"/>
    <x v="0"/>
    <s v="OK"/>
    <x v="1"/>
    <n v="7"/>
    <x v="1"/>
  </r>
  <r>
    <s v="CUST0859"/>
    <x v="4"/>
    <n v="6"/>
    <n v="8"/>
    <s v="N"/>
    <n v="43.11"/>
    <n v="43"/>
    <s v="FEMALE"/>
    <x v="0"/>
    <x v="1"/>
    <n v="43.11"/>
    <x v="0"/>
    <s v="OK"/>
    <x v="1"/>
    <n v="7"/>
    <x v="0"/>
  </r>
  <r>
    <s v="CUST0125"/>
    <x v="0"/>
    <n v="8"/>
    <n v="3"/>
    <s v="YES"/>
    <n v="89.16"/>
    <n v="16"/>
    <s v=""/>
    <x v="1"/>
    <x v="2"/>
    <n v="89.16"/>
    <x v="0"/>
    <s v="OK"/>
    <x v="2"/>
    <n v="5"/>
    <x v="1"/>
  </r>
  <r>
    <s v="CUST0554"/>
    <x v="1"/>
    <n v="6"/>
    <n v="5"/>
    <s v="NO"/>
    <n v="59.32"/>
    <n v="34"/>
    <s v="PREFER NOT TO SAY"/>
    <x v="0"/>
    <x v="2"/>
    <n v="59.32"/>
    <x v="0"/>
    <s v="OK"/>
    <x v="1"/>
    <n v="10"/>
    <x v="1"/>
  </r>
  <r>
    <s v="CUST0937"/>
    <x v="4"/>
    <n v="7"/>
    <n v="6"/>
    <s v="N"/>
    <n v="59.76"/>
    <n v="34"/>
    <s v=""/>
    <x v="0"/>
    <x v="2"/>
    <n v="59.76"/>
    <x v="0"/>
    <s v="OK"/>
    <x v="1"/>
    <n v="7"/>
    <x v="1"/>
  </r>
  <r>
    <s v="CUST0303"/>
    <x v="2"/>
    <n v="8"/>
    <n v="6"/>
    <s v="YES"/>
    <n v="130.41999999999999"/>
    <n v="2"/>
    <s v="M"/>
    <x v="1"/>
    <x v="0"/>
    <n v="130.41999999999999"/>
    <x v="0"/>
    <s v="OK"/>
    <x v="4"/>
    <n v="7"/>
    <x v="1"/>
  </r>
  <r>
    <s v="CUST0906"/>
    <x v="4"/>
    <n v="12"/>
    <n v="7"/>
    <s v="NO"/>
    <n v="11482"/>
    <n v="26"/>
    <s v="NAN"/>
    <x v="0"/>
    <x v="2"/>
    <n v="11482"/>
    <x v="0"/>
    <s v="OK"/>
    <x v="2"/>
    <n v="7"/>
    <x v="1"/>
  </r>
  <r>
    <s v="CUST0264"/>
    <x v="0"/>
    <n v="8"/>
    <n v="10"/>
    <s v="NAN"/>
    <n v="94.69"/>
    <n v="32"/>
    <s v="NAN"/>
    <x v="2"/>
    <x v="2"/>
    <n v="94.69"/>
    <x v="0"/>
    <s v="OK"/>
    <x v="1"/>
    <n v="5"/>
    <x v="0"/>
  </r>
  <r>
    <s v="CUST0482"/>
    <x v="3"/>
    <n v="8"/>
    <n v="7"/>
    <s v="NO"/>
    <n v="208.2"/>
    <n v="8"/>
    <s v="FEMALE"/>
    <x v="0"/>
    <x v="1"/>
    <n v="208.2"/>
    <x v="0"/>
    <s v="OK"/>
    <x v="4"/>
    <s v="NA"/>
    <x v="2"/>
  </r>
  <r>
    <s v="CUST0259"/>
    <x v="3"/>
    <n v="7"/>
    <n v="3"/>
    <s v="NO"/>
    <n v="43.37"/>
    <n v="20"/>
    <s v=""/>
    <x v="0"/>
    <x v="2"/>
    <n v="43.37"/>
    <x v="0"/>
    <s v="OK"/>
    <x v="2"/>
    <s v="NA"/>
    <x v="2"/>
  </r>
  <r>
    <s v="CUST0549"/>
    <x v="4"/>
    <n v="8"/>
    <n v="10"/>
    <s v="YES"/>
    <n v="154.76"/>
    <n v="29"/>
    <s v="FEMALE"/>
    <x v="1"/>
    <x v="1"/>
    <n v="154.76"/>
    <x v="0"/>
    <s v="OK"/>
    <x v="2"/>
    <n v="7"/>
    <x v="0"/>
  </r>
  <r>
    <s v="CUST0052"/>
    <x v="4"/>
    <n v="4"/>
    <n v="8"/>
    <s v="N"/>
    <n v="77.69"/>
    <n v="51"/>
    <s v="PREFER NOT TO SAY"/>
    <x v="0"/>
    <x v="2"/>
    <n v="77.69"/>
    <x v="0"/>
    <s v="OK"/>
    <x v="1"/>
    <n v="7"/>
    <x v="0"/>
  </r>
  <r>
    <s v="CUST0201"/>
    <x v="2"/>
    <n v="6"/>
    <n v="5"/>
    <s v="NO"/>
    <n v="91.72"/>
    <n v="21"/>
    <s v="PREFER NOT TO SAY"/>
    <x v="0"/>
    <x v="2"/>
    <n v="91.72"/>
    <x v="0"/>
    <s v="OK"/>
    <x v="2"/>
    <n v="7"/>
    <x v="1"/>
  </r>
  <r>
    <s v="CUST0070"/>
    <x v="4"/>
    <n v="5"/>
    <m/>
    <s v="YES"/>
    <n v="126.67"/>
    <n v="49"/>
    <s v="MALE"/>
    <x v="1"/>
    <x v="0"/>
    <n v="126.67"/>
    <x v="0"/>
    <s v="MISSING DELIVERY STATUS"/>
    <x v="1"/>
    <n v="7"/>
    <x v="2"/>
  </r>
  <r>
    <s v="CUST0716"/>
    <x v="1"/>
    <n v="1"/>
    <n v="3"/>
    <s v="NO"/>
    <n v="119.58"/>
    <n v="48"/>
    <s v=""/>
    <x v="0"/>
    <x v="2"/>
    <n v="119.58"/>
    <x v="0"/>
    <s v="OK"/>
    <x v="1"/>
    <n v="10"/>
    <x v="1"/>
  </r>
  <r>
    <s v="CUST0634"/>
    <x v="0"/>
    <n v="8"/>
    <n v="3"/>
    <s v="N"/>
    <n v="125.37"/>
    <n v="59"/>
    <s v="OTHER"/>
    <x v="0"/>
    <x v="2"/>
    <n v="125.37"/>
    <x v="0"/>
    <s v="OK"/>
    <x v="1"/>
    <n v="5"/>
    <x v="1"/>
  </r>
  <r>
    <s v="CUST0692"/>
    <x v="4"/>
    <n v="6"/>
    <n v="7"/>
    <s v="NO"/>
    <n v="222.08"/>
    <n v="33"/>
    <s v="MALE"/>
    <x v="0"/>
    <x v="0"/>
    <n v="222.08"/>
    <x v="0"/>
    <s v="OK"/>
    <x v="1"/>
    <n v="7"/>
    <x v="1"/>
  </r>
  <r>
    <s v="CUST0499"/>
    <x v="0"/>
    <n v="8"/>
    <n v="5"/>
    <s v="Y"/>
    <n v="95.6"/>
    <n v="29"/>
    <s v="NAN"/>
    <x v="1"/>
    <x v="2"/>
    <n v="95.6"/>
    <x v="0"/>
    <s v="OK"/>
    <x v="2"/>
    <n v="5"/>
    <x v="1"/>
  </r>
  <r>
    <s v="CUST0598"/>
    <x v="2"/>
    <n v="7"/>
    <n v="7"/>
    <s v="N"/>
    <n v="89.49"/>
    <n v="50"/>
    <s v="OTHER"/>
    <x v="0"/>
    <x v="2"/>
    <n v="89.49"/>
    <x v="0"/>
    <s v="OK"/>
    <x v="1"/>
    <n v="7"/>
    <x v="1"/>
  </r>
  <r>
    <s v="GUEST"/>
    <x v="2"/>
    <n v="10"/>
    <n v="3"/>
    <s v=""/>
    <n v="40.81"/>
    <n v="23"/>
    <s v="NAN"/>
    <x v="2"/>
    <x v="2"/>
    <n v="40.81"/>
    <x v="0"/>
    <s v="OK"/>
    <x v="2"/>
    <n v="7"/>
    <x v="1"/>
  </r>
  <r>
    <s v="CUST0585"/>
    <x v="4"/>
    <n v="7"/>
    <n v="6"/>
    <s v="Y"/>
    <n v="102.59"/>
    <n v="44"/>
    <s v="M"/>
    <x v="1"/>
    <x v="0"/>
    <n v="102.59"/>
    <x v="0"/>
    <s v="OK"/>
    <x v="1"/>
    <n v="7"/>
    <x v="1"/>
  </r>
  <r>
    <s v="CUST0017"/>
    <x v="1"/>
    <n v="7"/>
    <n v="7"/>
    <s v="NO"/>
    <n v="67.19"/>
    <n v="28"/>
    <s v="MALE"/>
    <x v="0"/>
    <x v="0"/>
    <n v="67.19"/>
    <x v="0"/>
    <s v="OK"/>
    <x v="2"/>
    <n v="10"/>
    <x v="1"/>
  </r>
  <r>
    <s v="CUST0954"/>
    <x v="1"/>
    <n v="7"/>
    <n v="4"/>
    <s v="Y"/>
    <n v="100.82"/>
    <n v="23"/>
    <s v="F"/>
    <x v="1"/>
    <x v="1"/>
    <n v="100.82"/>
    <x v="0"/>
    <s v="OK"/>
    <x v="2"/>
    <n v="10"/>
    <x v="1"/>
  </r>
  <r>
    <s v="CUST0228"/>
    <x v="4"/>
    <n v="5"/>
    <n v="5"/>
    <s v="NO"/>
    <n v="89.33"/>
    <n v="31"/>
    <s v="OTHER"/>
    <x v="0"/>
    <x v="2"/>
    <n v="89.33"/>
    <x v="0"/>
    <s v="OK"/>
    <x v="1"/>
    <n v="7"/>
    <x v="1"/>
  </r>
  <r>
    <s v="CUST0624"/>
    <x v="3"/>
    <n v="6"/>
    <n v="7"/>
    <s v="Y"/>
    <n v="106.55"/>
    <n v="28"/>
    <s v="M"/>
    <x v="1"/>
    <x v="0"/>
    <n v="106.55"/>
    <x v="0"/>
    <s v="OK"/>
    <x v="2"/>
    <s v="NA"/>
    <x v="2"/>
  </r>
  <r>
    <s v="GUEST"/>
    <x v="1"/>
    <n v="6"/>
    <m/>
    <s v="Y"/>
    <n v="77.849999999999994"/>
    <n v="23"/>
    <s v="F"/>
    <x v="1"/>
    <x v="1"/>
    <n v="77.849999999999994"/>
    <x v="0"/>
    <s v="MISSING DELIVERY STATUS"/>
    <x v="2"/>
    <n v="10"/>
    <x v="2"/>
  </r>
  <r>
    <s v="CUST0751"/>
    <x v="1"/>
    <n v="9"/>
    <n v="5"/>
    <s v="NO"/>
    <n v="43.37"/>
    <n v="49"/>
    <s v="F"/>
    <x v="0"/>
    <x v="1"/>
    <n v="43.37"/>
    <x v="0"/>
    <s v="OK"/>
    <x v="1"/>
    <n v="10"/>
    <x v="1"/>
  </r>
  <r>
    <s v="CUST0006"/>
    <x v="1"/>
    <n v="8"/>
    <n v="4"/>
    <s v="NO"/>
    <n v="126.95"/>
    <n v="31"/>
    <s v="M"/>
    <x v="0"/>
    <x v="0"/>
    <n v="126.95"/>
    <x v="0"/>
    <s v="OK"/>
    <x v="1"/>
    <n v="10"/>
    <x v="1"/>
  </r>
  <r>
    <s v="CUST0220"/>
    <x v="2"/>
    <n v="11"/>
    <n v="3"/>
    <s v="YES"/>
    <n v="74.87"/>
    <n v="52"/>
    <s v="NAN"/>
    <x v="1"/>
    <x v="2"/>
    <n v="74.87"/>
    <x v="0"/>
    <s v="OK"/>
    <x v="1"/>
    <n v="7"/>
    <x v="1"/>
  </r>
  <r>
    <s v="CUST0841"/>
    <x v="2"/>
    <n v="7"/>
    <n v="8"/>
    <s v="NO"/>
    <n v="103.64"/>
    <n v="31"/>
    <s v="FEMALE"/>
    <x v="0"/>
    <x v="1"/>
    <n v="103.64"/>
    <x v="0"/>
    <s v="OK"/>
    <x v="1"/>
    <n v="7"/>
    <x v="0"/>
  </r>
  <r>
    <s v="CUST0525"/>
    <x v="4"/>
    <n v="6"/>
    <n v="8"/>
    <s v="Y"/>
    <n v="57.98"/>
    <n v="29"/>
    <s v="FEMALE"/>
    <x v="1"/>
    <x v="1"/>
    <n v="57.98"/>
    <x v="0"/>
    <s v="OK"/>
    <x v="2"/>
    <n v="7"/>
    <x v="0"/>
  </r>
  <r>
    <s v="CUST0698"/>
    <x v="4"/>
    <n v="11"/>
    <n v="0"/>
    <s v="NAN"/>
    <n v="105.98"/>
    <n v="46"/>
    <s v="FEMALE"/>
    <x v="2"/>
    <x v="1"/>
    <n v="105.98"/>
    <x v="0"/>
    <s v="OK"/>
    <x v="1"/>
    <n v="7"/>
    <x v="1"/>
  </r>
  <r>
    <s v="CUST0358"/>
    <x v="1"/>
    <n v="7"/>
    <n v="7"/>
    <s v="N"/>
    <n v="145.87"/>
    <n v="31"/>
    <s v="M"/>
    <x v="0"/>
    <x v="0"/>
    <n v="145.87"/>
    <x v="0"/>
    <s v="OK"/>
    <x v="1"/>
    <n v="10"/>
    <x v="1"/>
  </r>
  <r>
    <s v="CUST0129"/>
    <x v="3"/>
    <n v="6"/>
    <n v="5"/>
    <s v="YES"/>
    <n v="108.86"/>
    <n v="31"/>
    <s v="NAN"/>
    <x v="1"/>
    <x v="2"/>
    <n v="108.86"/>
    <x v="0"/>
    <s v="OK"/>
    <x v="1"/>
    <s v="NA"/>
    <x v="2"/>
  </r>
  <r>
    <s v="CUST0072"/>
    <x v="4"/>
    <n v="5"/>
    <n v="6"/>
    <s v="YES"/>
    <n v="50.95"/>
    <n v="48"/>
    <s v="PREFER NOT TO SAY"/>
    <x v="1"/>
    <x v="2"/>
    <n v="50.95"/>
    <x v="0"/>
    <s v="OK"/>
    <x v="1"/>
    <n v="7"/>
    <x v="1"/>
  </r>
  <r>
    <s v="CUST0277"/>
    <x v="0"/>
    <n v="7"/>
    <n v="1"/>
    <s v="NO"/>
    <n v="13.31"/>
    <n v="18"/>
    <s v=""/>
    <x v="0"/>
    <x v="2"/>
    <n v="13.31"/>
    <x v="0"/>
    <s v="OK"/>
    <x v="2"/>
    <n v="5"/>
    <x v="1"/>
  </r>
  <r>
    <s v="CUST0765"/>
    <x v="0"/>
    <n v="5"/>
    <n v="5"/>
    <s v="NO"/>
    <n v="119.1"/>
    <n v="27"/>
    <s v="PREFER NOT TO SAY"/>
    <x v="0"/>
    <x v="2"/>
    <n v="119.1"/>
    <x v="0"/>
    <s v="OK"/>
    <x v="2"/>
    <n v="5"/>
    <x v="1"/>
  </r>
  <r>
    <s v="CUST0384"/>
    <x v="0"/>
    <n v="11"/>
    <n v="6"/>
    <s v="YES"/>
    <n v="56.49"/>
    <n v="6"/>
    <s v="NAN"/>
    <x v="1"/>
    <x v="2"/>
    <n v="56.49"/>
    <x v="0"/>
    <s v="OK"/>
    <x v="4"/>
    <n v="5"/>
    <x v="0"/>
  </r>
  <r>
    <s v="CUST0968"/>
    <x v="4"/>
    <n v="9"/>
    <n v="2"/>
    <s v="Y"/>
    <n v="72.53"/>
    <m/>
    <s v=""/>
    <x v="1"/>
    <x v="2"/>
    <n v="72.53"/>
    <x v="0"/>
    <s v="OK"/>
    <x v="0"/>
    <n v="7"/>
    <x v="1"/>
  </r>
  <r>
    <s v="CUST0730"/>
    <x v="1"/>
    <n v="8"/>
    <m/>
    <s v="Y"/>
    <n v="110"/>
    <n v="31"/>
    <s v="F"/>
    <x v="1"/>
    <x v="1"/>
    <n v="110"/>
    <x v="0"/>
    <s v="MISSING DELIVERY STATUS"/>
    <x v="1"/>
    <n v="10"/>
    <x v="2"/>
  </r>
  <r>
    <s v="CUST0314"/>
    <x v="2"/>
    <n v="7"/>
    <n v="5"/>
    <s v="N"/>
    <n v="43.11"/>
    <n v="26"/>
    <s v="MALE"/>
    <x v="0"/>
    <x v="0"/>
    <n v="43.11"/>
    <x v="0"/>
    <s v="OK"/>
    <x v="2"/>
    <n v="7"/>
    <x v="1"/>
  </r>
  <r>
    <s v="CUST0779"/>
    <x v="1"/>
    <n v="9"/>
    <n v="8"/>
    <s v="N"/>
    <n v="105.47"/>
    <n v="45"/>
    <s v="NAN"/>
    <x v="0"/>
    <x v="2"/>
    <n v="105.47"/>
    <x v="0"/>
    <s v="OK"/>
    <x v="1"/>
    <n v="10"/>
    <x v="1"/>
  </r>
  <r>
    <s v="CUST0864"/>
    <x v="4"/>
    <m/>
    <m/>
    <s v="NAN"/>
    <n v="187.29"/>
    <n v="17"/>
    <s v="M"/>
    <x v="2"/>
    <x v="0"/>
    <n v="187.29"/>
    <x v="1"/>
    <s v="MISSING DELIVERY STATUS"/>
    <x v="2"/>
    <n v="7"/>
    <x v="2"/>
  </r>
  <r>
    <s v="CUST0926"/>
    <x v="2"/>
    <n v="9"/>
    <n v="9"/>
    <s v=""/>
    <n v="84.4"/>
    <n v="30"/>
    <s v="OTHER"/>
    <x v="2"/>
    <x v="2"/>
    <n v="84.4"/>
    <x v="0"/>
    <s v="OK"/>
    <x v="1"/>
    <n v="7"/>
    <x v="0"/>
  </r>
  <r>
    <s v="CUST0878"/>
    <x v="4"/>
    <n v="5"/>
    <n v="3"/>
    <s v="NAN"/>
    <n v="101.05"/>
    <n v="59"/>
    <s v="MALE"/>
    <x v="2"/>
    <x v="0"/>
    <n v="101.05"/>
    <x v="0"/>
    <s v="OK"/>
    <x v="1"/>
    <n v="7"/>
    <x v="1"/>
  </r>
  <r>
    <s v="CUST0568"/>
    <x v="1"/>
    <n v="10"/>
    <n v="4"/>
    <s v="YES"/>
    <n v="176.46"/>
    <m/>
    <s v="FEMALE"/>
    <x v="1"/>
    <x v="1"/>
    <n v="176.46"/>
    <x v="0"/>
    <s v="OK"/>
    <x v="0"/>
    <n v="10"/>
    <x v="1"/>
  </r>
  <r>
    <s v="CUST0004"/>
    <x v="2"/>
    <n v="6"/>
    <n v="3"/>
    <s v="NO"/>
    <n v="66.16"/>
    <m/>
    <s v="MALE"/>
    <x v="0"/>
    <x v="0"/>
    <n v="66.16"/>
    <x v="0"/>
    <s v="OK"/>
    <x v="0"/>
    <n v="7"/>
    <x v="1"/>
  </r>
  <r>
    <s v="CUST0524"/>
    <x v="2"/>
    <n v="11"/>
    <n v="5"/>
    <s v="N"/>
    <n v="82.06"/>
    <n v="52"/>
    <s v="NAN"/>
    <x v="0"/>
    <x v="2"/>
    <n v="82.06"/>
    <x v="0"/>
    <s v="OK"/>
    <x v="1"/>
    <n v="7"/>
    <x v="1"/>
  </r>
  <r>
    <s v="CUST0850"/>
    <x v="4"/>
    <n v="10"/>
    <n v="6"/>
    <s v="Y"/>
    <n v="86.79"/>
    <n v="26"/>
    <s v="OTHER"/>
    <x v="1"/>
    <x v="2"/>
    <n v="86.79"/>
    <x v="0"/>
    <s v="OK"/>
    <x v="2"/>
    <n v="7"/>
    <x v="1"/>
  </r>
  <r>
    <s v="GUEST"/>
    <x v="0"/>
    <n v="7"/>
    <n v="6"/>
    <s v="NO"/>
    <n v="96.77"/>
    <n v="33"/>
    <s v="NAN"/>
    <x v="0"/>
    <x v="2"/>
    <n v="96.77"/>
    <x v="0"/>
    <s v="OK"/>
    <x v="1"/>
    <n v="5"/>
    <x v="0"/>
  </r>
  <r>
    <s v="CUST0726"/>
    <x v="0"/>
    <m/>
    <n v="5"/>
    <s v="N"/>
    <n v="8.26"/>
    <n v="25"/>
    <s v="FEMALE"/>
    <x v="0"/>
    <x v="1"/>
    <n v="8.26"/>
    <x v="1"/>
    <s v="OK"/>
    <x v="2"/>
    <n v="5"/>
    <x v="1"/>
  </r>
  <r>
    <s v="GUEST"/>
    <x v="4"/>
    <n v="8"/>
    <n v="3"/>
    <s v="NO"/>
    <n v="44.11"/>
    <m/>
    <s v="FEMALE"/>
    <x v="0"/>
    <x v="1"/>
    <n v="44.11"/>
    <x v="0"/>
    <s v="OK"/>
    <x v="0"/>
    <n v="7"/>
    <x v="1"/>
  </r>
  <r>
    <s v="GUEST"/>
    <x v="0"/>
    <n v="6"/>
    <n v="6"/>
    <s v="Y"/>
    <n v="105.52"/>
    <n v="35"/>
    <s v="NAN"/>
    <x v="1"/>
    <x v="2"/>
    <n v="105.52"/>
    <x v="0"/>
    <s v="OK"/>
    <x v="1"/>
    <n v="5"/>
    <x v="0"/>
  </r>
  <r>
    <s v="CUST0777"/>
    <x v="0"/>
    <n v="4"/>
    <n v="6"/>
    <s v="Y"/>
    <n v="58.34"/>
    <n v="15"/>
    <s v="NAN"/>
    <x v="1"/>
    <x v="2"/>
    <n v="58.34"/>
    <x v="0"/>
    <s v="OK"/>
    <x v="2"/>
    <n v="5"/>
    <x v="0"/>
  </r>
  <r>
    <s v="CUST0576"/>
    <x v="4"/>
    <n v="10"/>
    <n v="6"/>
    <s v="N"/>
    <n v="160.41999999999999"/>
    <n v="34"/>
    <s v="M"/>
    <x v="0"/>
    <x v="0"/>
    <n v="160.41999999999999"/>
    <x v="0"/>
    <s v="OK"/>
    <x v="1"/>
    <n v="7"/>
    <x v="1"/>
  </r>
  <r>
    <s v="CUST0806"/>
    <x v="1"/>
    <n v="4"/>
    <n v="6"/>
    <s v="NAN"/>
    <n v="117.03"/>
    <n v="43"/>
    <s v="F"/>
    <x v="2"/>
    <x v="1"/>
    <n v="117.03"/>
    <x v="0"/>
    <s v="OK"/>
    <x v="1"/>
    <n v="10"/>
    <x v="1"/>
  </r>
  <r>
    <s v="GUEST"/>
    <x v="0"/>
    <n v="9"/>
    <n v="3"/>
    <s v="NAN"/>
    <n v="80.19"/>
    <n v="37"/>
    <s v="FEMALE"/>
    <x v="2"/>
    <x v="1"/>
    <n v="80.19"/>
    <x v="0"/>
    <s v="OK"/>
    <x v="1"/>
    <n v="5"/>
    <x v="1"/>
  </r>
  <r>
    <s v="CUST0392"/>
    <x v="2"/>
    <n v="7"/>
    <n v="5"/>
    <s v="Y"/>
    <n v="60.11"/>
    <m/>
    <s v="NAN"/>
    <x v="1"/>
    <x v="2"/>
    <n v="60.11"/>
    <x v="0"/>
    <s v="OK"/>
    <x v="0"/>
    <n v="7"/>
    <x v="1"/>
  </r>
  <r>
    <s v="CUST0975"/>
    <x v="1"/>
    <n v="7"/>
    <n v="3"/>
    <s v="N"/>
    <n v="113.95"/>
    <n v="9"/>
    <s v="PREFER NOT TO SAY"/>
    <x v="0"/>
    <x v="2"/>
    <n v="113.95"/>
    <x v="0"/>
    <s v="OK"/>
    <x v="4"/>
    <n v="10"/>
    <x v="1"/>
  </r>
  <r>
    <s v="CUST0570"/>
    <x v="2"/>
    <n v="9"/>
    <n v="8"/>
    <s v="N"/>
    <n v="70.52"/>
    <n v="37"/>
    <s v="OTHER"/>
    <x v="0"/>
    <x v="2"/>
    <n v="70.52"/>
    <x v="0"/>
    <s v="OK"/>
    <x v="1"/>
    <n v="7"/>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2FEE53-6D70-1340-A00C-F478E774E23D}" name="PivotTable1" cacheId="101"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16" rowHeaderCaption="Product Category">
  <location ref="A3:B9" firstHeaderRow="1" firstDataRow="1" firstDataCol="1"/>
  <pivotFields count="16">
    <pivotField compact="0" outline="0" showAll="0" defaultSubtotal="0"/>
    <pivotField axis="axisRow" compact="0" outline="0" showAll="0" defaultSubtotal="0">
      <items count="5">
        <item x="1"/>
        <item x="4"/>
        <item x="0"/>
        <item x="2"/>
        <item x="3"/>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3">
        <item x="2"/>
        <item x="0"/>
        <item x="1"/>
      </items>
    </pivotField>
    <pivotField compact="0" outline="0" showAll="0" defaultSubtotal="0">
      <items count="3">
        <item x="1"/>
        <item x="0"/>
        <item x="2"/>
      </items>
    </pivotField>
    <pivotField compact="0" outline="0" showAll="0" defaultSubtotal="0"/>
    <pivotField compact="0" outline="0" showAll="0" defaultSubtotal="0"/>
    <pivotField compact="0" outline="0" showAll="0" defaultSubtotal="0"/>
    <pivotField compact="0" outline="0" showAll="0" defaultSubtotal="0">
      <items count="5">
        <item x="1"/>
        <item x="4"/>
        <item x="3"/>
        <item x="0"/>
        <item x="2"/>
      </items>
    </pivotField>
    <pivotField compact="0" outline="0" showAll="0" defaultSubtotal="0"/>
    <pivotField compact="0" outline="0" showAll="0" defaultSubtotal="0">
      <items count="5">
        <item x="2"/>
        <item m="1" x="4"/>
        <item m="1" x="3"/>
        <item x="0"/>
        <item x="1"/>
      </items>
    </pivotField>
  </pivotFields>
  <rowFields count="1">
    <field x="1"/>
  </rowFields>
  <rowItems count="6">
    <i>
      <x/>
    </i>
    <i>
      <x v="1"/>
    </i>
    <i>
      <x v="2"/>
    </i>
    <i>
      <x v="3"/>
    </i>
    <i>
      <x v="4"/>
    </i>
    <i t="grand">
      <x/>
    </i>
  </rowItems>
  <colItems count="1">
    <i/>
  </colItems>
  <dataFields count="1">
    <dataField name="Average of Satisfaction Score" fld="2" subtotal="average" baseField="0" baseItem="0" numFmtId="2"/>
  </dataFields>
  <formats count="2">
    <format dxfId="24">
      <pivotArea dataOnly="0" labelOnly="1" outline="0" fieldPosition="0">
        <references count="1">
          <reference field="4294967294" count="1">
            <x v="0"/>
          </reference>
        </references>
      </pivotArea>
    </format>
    <format dxfId="23">
      <pivotArea outline="0" fieldPosition="0">
        <references count="1">
          <reference field="4294967294" count="1" selected="0">
            <x v="0"/>
          </reference>
        </references>
      </pivotArea>
    </format>
  </formats>
  <chartFormats count="2">
    <chartFormat chart="2" format="0"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E4F880-0A75-7E48-9744-7C17A6160EEA}" name="PivotTable2" cacheId="10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0" rowHeaderCaption="Product Category">
  <location ref="A1:B6" firstHeaderRow="1" firstDataRow="1" firstDataCol="1"/>
  <pivotFields count="16">
    <pivotField compact="0" outline="0" showAll="0" defaultSubtotal="0"/>
    <pivotField axis="axisRow" compact="0" outline="0" showAll="0" sortType="descending" defaultSubtotal="0">
      <items count="5">
        <item x="3"/>
        <item x="2"/>
        <item x="0"/>
        <item x="4"/>
        <item x="1"/>
      </items>
    </pivotField>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3">
        <item x="2"/>
        <item x="0"/>
        <item x="1"/>
      </items>
    </pivotField>
    <pivotField compact="0" outline="0" showAll="0" defaultSubtotal="0">
      <items count="3">
        <item x="1"/>
        <item x="0"/>
        <item x="2"/>
      </items>
    </pivotField>
    <pivotField compact="0" outline="0" showAll="0" defaultSubtotal="0"/>
    <pivotField compact="0" outline="0" showAll="0" defaultSubtotal="0"/>
    <pivotField compact="0" outline="0" showAll="0" defaultSubtotal="0"/>
    <pivotField compact="0" outline="0" showAll="0" defaultSubtotal="0">
      <items count="5">
        <item x="1"/>
        <item x="4"/>
        <item x="3"/>
        <item x="0"/>
        <item x="2"/>
      </items>
    </pivotField>
    <pivotField compact="0" outline="0" showAll="0" defaultSubtotal="0"/>
    <pivotField compact="0" outline="0" showAll="0" defaultSubtotal="0">
      <items count="5">
        <item x="2"/>
        <item m="1" x="4"/>
        <item m="1" x="3"/>
        <item x="0"/>
        <item x="1"/>
      </items>
    </pivotField>
  </pivotFields>
  <rowFields count="1">
    <field x="1"/>
  </rowFields>
  <rowItems count="5">
    <i>
      <x/>
    </i>
    <i>
      <x v="1"/>
    </i>
    <i>
      <x v="2"/>
    </i>
    <i>
      <x v="3"/>
    </i>
    <i>
      <x v="4"/>
    </i>
  </rowItems>
  <colItems count="1">
    <i/>
  </colItems>
  <dataFields count="1">
    <dataField name="Average of Days for Delivery" fld="3" subtotal="average" baseField="0" baseItem="0" numFmtId="2"/>
  </dataFields>
  <formats count="1">
    <format dxfId="22">
      <pivotArea outline="0" collapsedLevelsAreSubtotals="1" fieldPosition="0"/>
    </format>
  </formats>
  <chartFormats count="2">
    <chartFormat chart="6" format="0"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F5DAADF-B537-9943-91DB-21D551D8E086}" name="PivotTable3" cacheId="10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55" rowHeaderCaption="Product Category">
  <location ref="A1:C6" firstHeaderRow="0" firstDataRow="1" firstDataCol="1"/>
  <pivotFields count="16">
    <pivotField dataField="1" compact="0" outline="0" showAll="0" defaultSubtotal="0"/>
    <pivotField axis="axisRow" compact="0" outline="0" showAll="0" sortType="ascending" defaultSubtotal="0">
      <items count="5">
        <item x="1"/>
        <item x="4"/>
        <item x="0"/>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3">
        <item x="2"/>
        <item x="0"/>
        <item x="1"/>
      </items>
    </pivotField>
    <pivotField compact="0" outline="0" showAll="0" defaultSubtotal="0">
      <items count="3">
        <item x="1"/>
        <item x="0"/>
        <item x="2"/>
      </items>
    </pivotField>
    <pivotField dataField="1" compact="0" outline="0" showAll="0" defaultSubtotal="0"/>
    <pivotField compact="0" outline="0" showAll="0" defaultSubtotal="0"/>
    <pivotField compact="0" outline="0" showAll="0" defaultSubtotal="0"/>
    <pivotField compact="0" outline="0" showAll="0" defaultSubtotal="0">
      <items count="5">
        <item x="1"/>
        <item x="4"/>
        <item x="3"/>
        <item x="0"/>
        <item x="2"/>
      </items>
    </pivotField>
    <pivotField compact="0" outline="0" showAll="0" defaultSubtotal="0"/>
    <pivotField compact="0" outline="0" showAll="0" defaultSubtotal="0">
      <items count="5">
        <item x="2"/>
        <item m="1" x="4"/>
        <item m="1" x="3"/>
        <item x="0"/>
        <item x="1"/>
      </items>
    </pivotField>
  </pivotFields>
  <rowFields count="1">
    <field x="1"/>
  </rowFields>
  <rowItems count="5">
    <i>
      <x/>
    </i>
    <i>
      <x v="1"/>
    </i>
    <i>
      <x v="2"/>
    </i>
    <i>
      <x v="3"/>
    </i>
    <i>
      <x v="4"/>
    </i>
  </rowItems>
  <colFields count="1">
    <field x="-2"/>
  </colFields>
  <colItems count="2">
    <i>
      <x/>
    </i>
    <i i="1">
      <x v="1"/>
    </i>
  </colItems>
  <dataFields count="2">
    <dataField name="Average of Order Value" fld="10" subtotal="average" baseField="0" baseItem="0"/>
    <dataField name="Volume of Customer" fld="0" subtotal="count" baseField="0" baseItem="0"/>
  </dataFields>
  <formats count="2">
    <format dxfId="21">
      <pivotArea outline="0" collapsedLevelsAreSubtotals="1" fieldPosition="0"/>
    </format>
    <format dxfId="20">
      <pivotArea outline="0" fieldPosition="0">
        <references count="1">
          <reference field="4294967294" count="1" selected="0">
            <x v="1"/>
          </reference>
        </references>
      </pivotArea>
    </format>
  </formats>
  <chartFormats count="10">
    <chartFormat chart="44" format="0" series="1">
      <pivotArea type="data" outline="0" fieldPosition="0">
        <references count="1">
          <reference field="4294967294" count="1" selected="0">
            <x v="0"/>
          </reference>
        </references>
      </pivotArea>
    </chartFormat>
    <chartFormat chart="44" format="1" series="1">
      <pivotArea type="data" outline="0" fieldPosition="0">
        <references count="1">
          <reference field="4294967294" count="1" selected="0">
            <x v="1"/>
          </reference>
        </references>
      </pivotArea>
    </chartFormat>
    <chartFormat chart="50" format="8" series="1">
      <pivotArea type="data" outline="0" fieldPosition="0">
        <references count="1">
          <reference field="4294967294" count="1" selected="0">
            <x v="0"/>
          </reference>
        </references>
      </pivotArea>
    </chartFormat>
    <chartFormat chart="50" format="9" series="1">
      <pivotArea type="data" outline="0" fieldPosition="0">
        <references count="1">
          <reference field="4294967294" count="1" selected="0">
            <x v="1"/>
          </reference>
        </references>
      </pivotArea>
    </chartFormat>
    <chartFormat chart="50" format="10">
      <pivotArea type="data" outline="0" fieldPosition="0">
        <references count="1">
          <reference field="4294967294" count="1" selected="0">
            <x v="0"/>
          </reference>
        </references>
      </pivotArea>
    </chartFormat>
    <chartFormat chart="50" format="11">
      <pivotArea type="data" outline="0" fieldPosition="0">
        <references count="2">
          <reference field="4294967294" count="1" selected="0">
            <x v="0"/>
          </reference>
          <reference field="1" count="1" selected="0">
            <x v="0"/>
          </reference>
        </references>
      </pivotArea>
    </chartFormat>
    <chartFormat chart="50" format="12">
      <pivotArea type="data" outline="0" fieldPosition="0">
        <references count="2">
          <reference field="4294967294" count="1" selected="0">
            <x v="0"/>
          </reference>
          <reference field="1" count="1" selected="0">
            <x v="1"/>
          </reference>
        </references>
      </pivotArea>
    </chartFormat>
    <chartFormat chart="50" format="13">
      <pivotArea type="data" outline="0" fieldPosition="0">
        <references count="2">
          <reference field="4294967294" count="1" selected="0">
            <x v="0"/>
          </reference>
          <reference field="1" count="1" selected="0">
            <x v="2"/>
          </reference>
        </references>
      </pivotArea>
    </chartFormat>
    <chartFormat chart="50" format="14">
      <pivotArea type="data" outline="0" fieldPosition="0">
        <references count="2">
          <reference field="4294967294" count="1" selected="0">
            <x v="0"/>
          </reference>
          <reference field="1" count="1" selected="0">
            <x v="3"/>
          </reference>
        </references>
      </pivotArea>
    </chartFormat>
    <chartFormat chart="50" format="15">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4651A13-2092-1C48-8272-C3E9F0F19E40}" name="PivotTable5" cacheId="10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3" rowHeaderCaption="Product Category">
  <location ref="A1:B3" firstHeaderRow="1" firstDataRow="1" firstDataCol="1"/>
  <pivotFields count="16">
    <pivotField dataField="1" compact="0" outline="0" showAll="0" defaultSubtotal="0"/>
    <pivotField compact="0" outline="0" showAll="0" defaultSubtotal="0">
      <items count="5">
        <item x="1"/>
        <item x="4"/>
        <item x="0"/>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3">
        <item x="2"/>
        <item x="0"/>
        <item x="1"/>
      </items>
    </pivotField>
    <pivotField compact="0" outline="0" showAll="0" defaultSubtotal="0">
      <items count="3">
        <item x="1"/>
        <item x="0"/>
        <item x="2"/>
      </items>
    </pivotField>
    <pivotField compact="0" outline="0" showAll="0" defaultSubtotal="0"/>
    <pivotField axis="axisRow" compact="0" outline="0" showAll="0" defaultSubtotal="0">
      <items count="2">
        <item x="1"/>
        <item x="0"/>
      </items>
    </pivotField>
    <pivotField compact="0" outline="0" showAll="0" defaultSubtotal="0"/>
    <pivotField compact="0" outline="0" showAll="0" defaultSubtotal="0">
      <items count="5">
        <item x="1"/>
        <item x="4"/>
        <item x="3"/>
        <item x="0"/>
        <item x="2"/>
      </items>
    </pivotField>
    <pivotField compact="0" outline="0" showAll="0" defaultSubtotal="0"/>
    <pivotField compact="0" outline="0" showAll="0" defaultSubtotal="0">
      <items count="5">
        <item x="2"/>
        <item m="1" x="4"/>
        <item m="1" x="3"/>
        <item x="0"/>
        <item x="1"/>
      </items>
    </pivotField>
  </pivotFields>
  <rowFields count="1">
    <field x="11"/>
  </rowFields>
  <rowItems count="2">
    <i>
      <x/>
    </i>
    <i>
      <x v="1"/>
    </i>
  </rowItems>
  <colItems count="1">
    <i/>
  </colItems>
  <dataFields count="1">
    <dataField name="Count of Customer ID" fld="0" subtotal="count" showDataAs="percentOfTotal" baseField="0" baseItem="0" numFmtId="9"/>
  </dataFields>
  <formats count="5">
    <format dxfId="19">
      <pivotArea type="all" dataOnly="0" outline="0" fieldPosition="0"/>
    </format>
    <format dxfId="18">
      <pivotArea outline="0" collapsedLevelsAreSubtotals="1" fieldPosition="0"/>
    </format>
    <format dxfId="17">
      <pivotArea field="1" type="button" dataOnly="0" labelOnly="1" outline="0"/>
    </format>
    <format dxfId="16">
      <pivotArea dataOnly="0" labelOnly="1" outline="0" axis="axisValues" fieldPosition="0"/>
    </format>
    <format dxfId="15">
      <pivotArea outline="0" fieldPosition="0">
        <references count="1">
          <reference field="4294967294" count="1">
            <x v="0"/>
          </reference>
        </references>
      </pivotArea>
    </format>
  </formats>
  <chartFormats count="6">
    <chartFormat chart="16" format="1" series="1">
      <pivotArea type="data" outline="0" fieldPosition="0">
        <references count="1">
          <reference field="4294967294" count="1" selected="0">
            <x v="0"/>
          </reference>
        </references>
      </pivotArea>
    </chartFormat>
    <chartFormat chart="37" format="17" series="1">
      <pivotArea type="data" outline="0" fieldPosition="0">
        <references count="1">
          <reference field="4294967294" count="1" selected="0">
            <x v="0"/>
          </reference>
        </references>
      </pivotArea>
    </chartFormat>
    <chartFormat chart="37" format="18">
      <pivotArea type="data" outline="0" fieldPosition="0">
        <references count="2">
          <reference field="4294967294" count="1" selected="0">
            <x v="0"/>
          </reference>
          <reference field="11" count="1" selected="0">
            <x v="0"/>
          </reference>
        </references>
      </pivotArea>
    </chartFormat>
    <chartFormat chart="37" format="19">
      <pivotArea type="data" outline="0" fieldPosition="0">
        <references count="2">
          <reference field="4294967294" count="1" selected="0">
            <x v="0"/>
          </reference>
          <reference field="11" count="1" selected="0">
            <x v="1"/>
          </reference>
        </references>
      </pivotArea>
    </chartFormat>
    <chartFormat chart="16" format="2">
      <pivotArea type="data" outline="0" fieldPosition="0">
        <references count="2">
          <reference field="4294967294" count="1" selected="0">
            <x v="0"/>
          </reference>
          <reference field="11" count="1" selected="0">
            <x v="0"/>
          </reference>
        </references>
      </pivotArea>
    </chartFormat>
    <chartFormat chart="16" format="3">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CF4BEA7-4B75-8849-9F9B-1DF783C98923}" name="PivotTable6" cacheId="10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82" rowHeaderCaption="Product Category">
  <location ref="A1:B4" firstHeaderRow="1" firstDataRow="1" firstDataCol="1"/>
  <pivotFields count="16">
    <pivotField dataField="1" compact="0" outline="0" showAll="0" defaultSubtotal="0"/>
    <pivotField compact="0" outline="0" showAll="0" defaultSubtotal="0">
      <items count="5">
        <item x="1"/>
        <item x="4"/>
        <item x="0"/>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3">
        <item x="2"/>
        <item x="0"/>
        <item x="1"/>
      </items>
    </pivotField>
    <pivotField compact="0" outline="0" showAll="0" defaultSubtotal="0">
      <items count="3">
        <item x="1"/>
        <item x="0"/>
        <item x="2"/>
      </items>
    </pivotField>
    <pivotField compact="0" outline="0" showAll="0" defaultSubtotal="0"/>
    <pivotField compact="0" outline="0" showAll="0" defaultSubtotal="0"/>
    <pivotField compact="0" outline="0" showAll="0" defaultSubtotal="0"/>
    <pivotField compact="0" outline="0" showAll="0" defaultSubtotal="0">
      <items count="5">
        <item x="1"/>
        <item x="4"/>
        <item x="3"/>
        <item x="0"/>
        <item x="2"/>
      </items>
    </pivotField>
    <pivotField compact="0" outline="0" showAll="0" defaultSubtotal="0"/>
    <pivotField axis="axisRow" compact="0" outline="0" showAll="0" defaultSubtotal="0">
      <items count="5">
        <item m="1" x="4"/>
        <item m="1" x="3"/>
        <item x="1"/>
        <item x="0"/>
        <item x="2"/>
      </items>
    </pivotField>
  </pivotFields>
  <rowFields count="1">
    <field x="15"/>
  </rowFields>
  <rowItems count="3">
    <i>
      <x v="2"/>
    </i>
    <i>
      <x v="3"/>
    </i>
    <i>
      <x v="4"/>
    </i>
  </rowItems>
  <colItems count="1">
    <i/>
  </colItems>
  <dataFields count="1">
    <dataField name="Count of Customer ID" fld="0" subtotal="count" showDataAs="percentOfTotal" baseField="0" baseItem="0" numFmtId="9"/>
  </dataFields>
  <formats count="5">
    <format dxfId="14">
      <pivotArea type="all" dataOnly="0" outline="0" fieldPosition="0"/>
    </format>
    <format dxfId="13">
      <pivotArea outline="0" collapsedLevelsAreSubtotals="1" fieldPosition="0"/>
    </format>
    <format dxfId="12">
      <pivotArea field="1" type="button" dataOnly="0" labelOnly="1" outline="0"/>
    </format>
    <format dxfId="11">
      <pivotArea dataOnly="0" labelOnly="1" outline="0" axis="axisValues" fieldPosition="0"/>
    </format>
    <format dxfId="10">
      <pivotArea outline="0" fieldPosition="0">
        <references count="1">
          <reference field="4294967294" count="1">
            <x v="0"/>
          </reference>
        </references>
      </pivotArea>
    </format>
  </formats>
  <chartFormats count="36">
    <chartFormat chart="16" format="1"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30" format="33" series="1">
      <pivotArea type="data" outline="0" fieldPosition="0">
        <references count="1">
          <reference field="4294967294" count="1" selected="0">
            <x v="0"/>
          </reference>
        </references>
      </pivotArea>
    </chartFormat>
    <chartFormat chart="30" format="34">
      <pivotArea type="data" outline="0" fieldPosition="0">
        <references count="2">
          <reference field="4294967294" count="1" selected="0">
            <x v="0"/>
          </reference>
          <reference field="15" count="1" selected="0">
            <x v="0"/>
          </reference>
        </references>
      </pivotArea>
    </chartFormat>
    <chartFormat chart="30" format="35">
      <pivotArea type="data" outline="0" fieldPosition="0">
        <references count="2">
          <reference field="4294967294" count="1" selected="0">
            <x v="0"/>
          </reference>
          <reference field="15" count="1" selected="0">
            <x v="1"/>
          </reference>
        </references>
      </pivotArea>
    </chartFormat>
    <chartFormat chart="30" format="36">
      <pivotArea type="data" outline="0" fieldPosition="0">
        <references count="2">
          <reference field="4294967294" count="1" selected="0">
            <x v="0"/>
          </reference>
          <reference field="15" count="1" selected="0">
            <x v="2"/>
          </reference>
        </references>
      </pivotArea>
    </chartFormat>
    <chartFormat chart="60" format="41" series="1">
      <pivotArea type="data" outline="0" fieldPosition="0">
        <references count="1">
          <reference field="4294967294" count="1" selected="0">
            <x v="0"/>
          </reference>
        </references>
      </pivotArea>
    </chartFormat>
    <chartFormat chart="60" format="42">
      <pivotArea type="data" outline="0" fieldPosition="0">
        <references count="2">
          <reference field="4294967294" count="1" selected="0">
            <x v="0"/>
          </reference>
          <reference field="15" count="1" selected="0">
            <x v="2"/>
          </reference>
        </references>
      </pivotArea>
    </chartFormat>
    <chartFormat chart="60" format="43">
      <pivotArea type="data" outline="0" fieldPosition="0">
        <references count="2">
          <reference field="4294967294" count="1" selected="0">
            <x v="0"/>
          </reference>
          <reference field="15" count="1" selected="0">
            <x v="3"/>
          </reference>
        </references>
      </pivotArea>
    </chartFormat>
    <chartFormat chart="60" format="44">
      <pivotArea type="data" outline="0" fieldPosition="0">
        <references count="2">
          <reference field="4294967294" count="1" selected="0">
            <x v="0"/>
          </reference>
          <reference field="15" count="1" selected="0">
            <x v="4"/>
          </reference>
        </references>
      </pivotArea>
    </chartFormat>
    <chartFormat chart="30" format="37">
      <pivotArea type="data" outline="0" fieldPosition="0">
        <references count="2">
          <reference field="4294967294" count="1" selected="0">
            <x v="0"/>
          </reference>
          <reference field="15" count="1" selected="0">
            <x v="4"/>
          </reference>
        </references>
      </pivotArea>
    </chartFormat>
    <chartFormat chart="30" format="38">
      <pivotArea type="data" outline="0" fieldPosition="0">
        <references count="2">
          <reference field="4294967294" count="1" selected="0">
            <x v="0"/>
          </reference>
          <reference field="15" count="1" selected="0">
            <x v="3"/>
          </reference>
        </references>
      </pivotArea>
    </chartFormat>
    <chartFormat chart="17" format="1">
      <pivotArea type="data" outline="0" fieldPosition="0">
        <references count="2">
          <reference field="4294967294" count="1" selected="0">
            <x v="0"/>
          </reference>
          <reference field="15" count="1" selected="0">
            <x v="2"/>
          </reference>
        </references>
      </pivotArea>
    </chartFormat>
    <chartFormat chart="17" format="2">
      <pivotArea type="data" outline="0" fieldPosition="0">
        <references count="2">
          <reference field="4294967294" count="1" selected="0">
            <x v="0"/>
          </reference>
          <reference field="15" count="1" selected="0">
            <x v="3"/>
          </reference>
        </references>
      </pivotArea>
    </chartFormat>
    <chartFormat chart="17" format="3">
      <pivotArea type="data" outline="0" fieldPosition="0">
        <references count="2">
          <reference field="4294967294" count="1" selected="0">
            <x v="0"/>
          </reference>
          <reference field="15" count="1" selected="0">
            <x v="4"/>
          </reference>
        </references>
      </pivotArea>
    </chartFormat>
    <chartFormat chart="65" format="0" series="1">
      <pivotArea type="data" outline="0" fieldPosition="0">
        <references count="1">
          <reference field="4294967294" count="1" selected="0">
            <x v="0"/>
          </reference>
        </references>
      </pivotArea>
    </chartFormat>
    <chartFormat chart="66" format="0" series="1">
      <pivotArea type="data" outline="0" fieldPosition="0">
        <references count="1">
          <reference field="4294967294" count="1" selected="0">
            <x v="0"/>
          </reference>
        </references>
      </pivotArea>
    </chartFormat>
    <chartFormat chart="69" format="5" series="1">
      <pivotArea type="data" outline="0" fieldPosition="0">
        <references count="1">
          <reference field="4294967294" count="1" selected="0">
            <x v="0"/>
          </reference>
        </references>
      </pivotArea>
    </chartFormat>
    <chartFormat chart="69" format="6">
      <pivotArea type="data" outline="0" fieldPosition="0">
        <references count="2">
          <reference field="4294967294" count="1" selected="0">
            <x v="0"/>
          </reference>
          <reference field="15" count="1" selected="0">
            <x v="2"/>
          </reference>
        </references>
      </pivotArea>
    </chartFormat>
    <chartFormat chart="69" format="7">
      <pivotArea type="data" outline="0" fieldPosition="0">
        <references count="2">
          <reference field="4294967294" count="1" selected="0">
            <x v="0"/>
          </reference>
          <reference field="15" count="1" selected="0">
            <x v="3"/>
          </reference>
        </references>
      </pivotArea>
    </chartFormat>
    <chartFormat chart="69" format="8">
      <pivotArea type="data" outline="0" fieldPosition="0">
        <references count="2">
          <reference field="4294967294" count="1" selected="0">
            <x v="0"/>
          </reference>
          <reference field="15" count="1" selected="0">
            <x v="4"/>
          </reference>
        </references>
      </pivotArea>
    </chartFormat>
    <chartFormat chart="74" format="13" series="1">
      <pivotArea type="data" outline="0" fieldPosition="0">
        <references count="1">
          <reference field="4294967294" count="1" selected="0">
            <x v="0"/>
          </reference>
        </references>
      </pivotArea>
    </chartFormat>
    <chartFormat chart="74" format="14">
      <pivotArea type="data" outline="0" fieldPosition="0">
        <references count="2">
          <reference field="4294967294" count="1" selected="0">
            <x v="0"/>
          </reference>
          <reference field="15" count="1" selected="0">
            <x v="2"/>
          </reference>
        </references>
      </pivotArea>
    </chartFormat>
    <chartFormat chart="74" format="15">
      <pivotArea type="data" outline="0" fieldPosition="0">
        <references count="2">
          <reference field="4294967294" count="1" selected="0">
            <x v="0"/>
          </reference>
          <reference field="15" count="1" selected="0">
            <x v="3"/>
          </reference>
        </references>
      </pivotArea>
    </chartFormat>
    <chartFormat chart="74" format="16">
      <pivotArea type="data" outline="0" fieldPosition="0">
        <references count="2">
          <reference field="4294967294" count="1" selected="0">
            <x v="0"/>
          </reference>
          <reference field="15" count="1" selected="0">
            <x v="4"/>
          </reference>
        </references>
      </pivotArea>
    </chartFormat>
    <chartFormat chart="77" format="9" series="1">
      <pivotArea type="data" outline="0" fieldPosition="0">
        <references count="1">
          <reference field="4294967294" count="1" selected="0">
            <x v="0"/>
          </reference>
        </references>
      </pivotArea>
    </chartFormat>
    <chartFormat chart="77" format="10">
      <pivotArea type="data" outline="0" fieldPosition="0">
        <references count="2">
          <reference field="4294967294" count="1" selected="0">
            <x v="0"/>
          </reference>
          <reference field="15" count="1" selected="0">
            <x v="2"/>
          </reference>
        </references>
      </pivotArea>
    </chartFormat>
    <chartFormat chart="77" format="11">
      <pivotArea type="data" outline="0" fieldPosition="0">
        <references count="2">
          <reference field="4294967294" count="1" selected="0">
            <x v="0"/>
          </reference>
          <reference field="15" count="1" selected="0">
            <x v="3"/>
          </reference>
        </references>
      </pivotArea>
    </chartFormat>
    <chartFormat chart="77" format="12">
      <pivotArea type="data" outline="0" fieldPosition="0">
        <references count="2">
          <reference field="4294967294" count="1" selected="0">
            <x v="0"/>
          </reference>
          <reference field="15" count="1" selected="0">
            <x v="4"/>
          </reference>
        </references>
      </pivotArea>
    </chartFormat>
    <chartFormat chart="78" format="13" series="1">
      <pivotArea type="data" outline="0" fieldPosition="0">
        <references count="1">
          <reference field="4294967294" count="1" selected="0">
            <x v="0"/>
          </reference>
        </references>
      </pivotArea>
    </chartFormat>
    <chartFormat chart="78" format="14">
      <pivotArea type="data" outline="0" fieldPosition="0">
        <references count="2">
          <reference field="4294967294" count="1" selected="0">
            <x v="0"/>
          </reference>
          <reference field="15" count="1" selected="0">
            <x v="2"/>
          </reference>
        </references>
      </pivotArea>
    </chartFormat>
    <chartFormat chart="78" format="15">
      <pivotArea type="data" outline="0" fieldPosition="0">
        <references count="2">
          <reference field="4294967294" count="1" selected="0">
            <x v="0"/>
          </reference>
          <reference field="15" count="1" selected="0">
            <x v="3"/>
          </reference>
        </references>
      </pivotArea>
    </chartFormat>
    <chartFormat chart="78" format="16">
      <pivotArea type="data" outline="0" fieldPosition="0">
        <references count="2">
          <reference field="4294967294" count="1" selected="0">
            <x v="0"/>
          </reference>
          <reference field="15" count="1" selected="0">
            <x v="4"/>
          </reference>
        </references>
      </pivotArea>
    </chartFormat>
    <chartFormat chart="66" format="1">
      <pivotArea type="data" outline="0" fieldPosition="0">
        <references count="2">
          <reference field="4294967294" count="1" selected="0">
            <x v="0"/>
          </reference>
          <reference field="15" count="1" selected="0">
            <x v="2"/>
          </reference>
        </references>
      </pivotArea>
    </chartFormat>
    <chartFormat chart="66" format="2">
      <pivotArea type="data" outline="0" fieldPosition="0">
        <references count="2">
          <reference field="4294967294" count="1" selected="0">
            <x v="0"/>
          </reference>
          <reference field="15" count="1" selected="0">
            <x v="3"/>
          </reference>
        </references>
      </pivotArea>
    </chartFormat>
    <chartFormat chart="66" format="3">
      <pivotArea type="data" outline="0" fieldPosition="0">
        <references count="2">
          <reference field="4294967294" count="1" selected="0">
            <x v="0"/>
          </reference>
          <reference field="1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C418285-4C2C-F94E-AEE6-39972DB586F4}" autoFormatId="16" applyNumberFormats="0" applyBorderFormats="0" applyFontFormats="0" applyPatternFormats="0" applyAlignmentFormats="0" applyWidthHeightFormats="0">
  <queryTableRefresh nextId="25" unboundColumnsRight="2">
    <queryTableFields count="16">
      <queryTableField id="1" name="Customer ID" tableColumnId="1"/>
      <queryTableField id="2" name="Product Category" tableColumnId="2"/>
      <queryTableField id="3" name="Satisfaction Score" tableColumnId="3"/>
      <queryTableField id="4" name="Days for Delivery" tableColumnId="4"/>
      <queryTableField id="5" name="Customer Service Interaction" tableColumnId="5"/>
      <queryTableField id="6" name="Purchase Amount" tableColumnId="6"/>
      <queryTableField id="7" name="Customer Age" tableColumnId="7"/>
      <queryTableField id="8" name="Gender" tableColumnId="8"/>
      <queryTableField id="23" name="Customer Service Interaction_Clean" tableColumnId="21"/>
      <queryTableField id="10" name="Gender_Clean" tableColumnId="10"/>
      <queryTableField id="11" name="Purchase Amount_Financial KPI" tableColumnId="11"/>
      <queryTableField id="17" name="Satisfaction Feedback_Status" tableColumnId="17"/>
      <queryTableField id="13" name="Delivery_Status" tableColumnId="13"/>
      <queryTableField id="22" name="Customer Age_Group" tableColumnId="20"/>
      <queryTableField id="14" dataBound="0" tableColumnId="14"/>
      <queryTableField id="15" dataBound="0"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36B64421-46AE-3E47-8F16-35F4DF878E17}" sourceName="Product Category">
  <pivotTables>
    <pivotTable tabId="3" name="PivotTable1"/>
    <pivotTable tabId="4" name="PivotTable2"/>
    <pivotTable tabId="5" name="PivotTable3"/>
    <pivotTable tabId="7" name="PivotTable5"/>
    <pivotTable tabId="8" name="PivotTable6"/>
  </pivotTables>
  <data>
    <tabular pivotCacheId="1619318527">
      <items count="5">
        <i x="1" s="1"/>
        <i x="4" s="1"/>
        <i x="0"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_Clean" xr10:uid="{BF9D86F2-6C4D-EC4F-9CAC-FBEBB5F62313}" sourceName="Gender_Clean">
  <pivotTables>
    <pivotTable tabId="3" name="PivotTable1"/>
    <pivotTable tabId="4" name="PivotTable2"/>
    <pivotTable tabId="5" name="PivotTable3"/>
    <pivotTable tabId="7" name="PivotTable5"/>
    <pivotTable tabId="8" name="PivotTable6"/>
  </pivotTables>
  <data>
    <tabular pivotCacheId="1619318527">
      <items count="3">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ge_Group" xr10:uid="{BAE6B73A-49C1-9B46-9C29-D8D71BBBD4D6}" sourceName="Customer Age_Group">
  <pivotTables>
    <pivotTable tabId="3" name="PivotTable1"/>
    <pivotTable tabId="4" name="PivotTable2"/>
    <pivotTable tabId="5" name="PivotTable3"/>
    <pivotTable tabId="7" name="PivotTable5"/>
    <pivotTable tabId="8" name="PivotTable6"/>
  </pivotTables>
  <data>
    <tabular pivotCacheId="1619318527">
      <items count="5">
        <i x="1" s="1"/>
        <i x="4" s="1"/>
        <i x="3"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LA_Met_Status" xr10:uid="{3BA3D5C0-31C2-5B42-A0BB-8D2258B9DED7}" sourceName="SLA_Met_Status">
  <pivotTables>
    <pivotTable tabId="3" name="PivotTable1"/>
    <pivotTable tabId="4" name="PivotTable2"/>
    <pivotTable tabId="5" name="PivotTable3"/>
    <pivotTable tabId="7" name="PivotTable5"/>
    <pivotTable tabId="8" name="PivotTable6"/>
  </pivotTables>
  <data>
    <tabular pivotCacheId="1619318527" sortOrder="descending">
      <items count="5">
        <i x="1" s="1"/>
        <i x="0" s="1"/>
        <i x="2" s="1"/>
        <i x="3" s="1" nd="1"/>
        <i x="4"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rvice_Interaction_Clean" xr10:uid="{FB829F78-FFBC-234E-B483-4AABE7053CC7}" sourceName="Customer Service Interaction_Clean">
  <pivotTables>
    <pivotTable tabId="3" name="PivotTable1"/>
    <pivotTable tabId="4" name="PivotTable2"/>
    <pivotTable tabId="5" name="PivotTable3"/>
    <pivotTable tabId="7" name="PivotTable5"/>
    <pivotTable tabId="8" name="PivotTable6"/>
  </pivotTables>
  <data>
    <tabular pivotCacheId="1619318527" sortOrder="descending">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1" xr10:uid="{CE84FAFB-FE34-AE42-9096-F444E0683947}" cache="Slicer_Product_Category" caption="Product Category" style="SlicerStyleDark1" rowHeight="251883"/>
  <slicer name="Gender_Clean 5" xr10:uid="{F0FF41E0-CA7C-7041-8D33-22D77074C666}" cache="Slicer_Gender_Clean" caption="Gender" style="SlicerStyleDark1" rowHeight="251883"/>
  <slicer name="Customer Age_Group 5" xr10:uid="{38A49B7C-A0EC-9444-BE33-32CA835A1EE8}" cache="Slicer_Customer_Age_Group" caption="Age Group" style="SlicerStyleDark1" rowHeight="251883"/>
  <slicer name="SLA_Met_Status 1" xr10:uid="{193D8D27-FE5C-B84C-877E-AFC726406776}" cache="Slicer_SLA_Met_Status" caption="SLA Status" style="SlicerStyleDark1" rowHeight="251883"/>
  <slicer name="Customer Service Interaction_Clean 6" xr10:uid="{D31B99C2-50CD-C64E-9C0F-007AE8852F18}" cache="Slicer_Customer_Service_Interaction_Clean" caption="Customer Service Interaction" style="SlicerStyleDark1"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B76CDD8E-2FD0-7E48-A564-CEC066FB6DF4}" cache="Slicer_Product_Category" caption="Product Category" style="SlicerStyleDark4" rowHeight="251883"/>
  <slicer name="Gender_Clean" xr10:uid="{DDD706B0-CC21-5641-9A36-51FB513463E8}" cache="Slicer_Gender_Clean" caption="Gender_Clean" style="SlicerStyleDark4" rowHeight="251883"/>
  <slicer name="Customer Age_Group" xr10:uid="{62E5E6CC-F3C4-B645-827F-B82263620C94}" cache="Slicer_Customer_Age_Group" caption="Customer Age_Group" rowHeight="251883"/>
  <slicer name="SLA_Met_Status" xr10:uid="{94318B9B-2737-CF40-9D3B-3A8B4F1B8DCE}" cache="Slicer_SLA_Met_Status" caption="SLA_Met_Status" rowHeight="251883"/>
  <slicer name="Customer Service Interaction_Clean" xr10:uid="{86CFABED-BDE1-004F-BF49-3AD5D6AC08A7}" cache="Slicer_Customer_Service_Interaction_Clean" caption="Customer Service Interaction_Clean" style="SlicerStyleDark4"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78779A-5BBF-AE4B-B771-5FBA9C606E73}" name="customer_satisfaction_cleaned" displayName="customer_satisfaction_cleaned" ref="A1:P935" tableType="queryTable" totalsRowShown="0">
  <autoFilter ref="A1:P935" xr:uid="{2678779A-5BBF-AE4B-B771-5FBA9C606E73}"/>
  <tableColumns count="16">
    <tableColumn id="1" xr3:uid="{527510B0-D8D8-214C-90C7-66E284AA462D}" uniqueName="1" name="Customer ID" queryTableFieldId="1" dataDxfId="5"/>
    <tableColumn id="2" xr3:uid="{195B4A14-AE93-414C-A775-8B52C4562AB3}" uniqueName="2" name="Product Category" queryTableFieldId="2" dataDxfId="4"/>
    <tableColumn id="3" xr3:uid="{C3A3D92A-B489-AB47-AC11-FFD07CB443B0}" uniqueName="3" name="Satisfaction Score" queryTableFieldId="3"/>
    <tableColumn id="4" xr3:uid="{4F6A0D95-E4EE-6247-B97E-A6C264E1D6B0}" uniqueName="4" name="Days for Delivery" queryTableFieldId="4"/>
    <tableColumn id="5" xr3:uid="{FDA500B0-F47D-274C-B55B-0EEA068FF32E}" uniqueName="5" name="Customer Service Interaction" queryTableFieldId="5" dataDxfId="3"/>
    <tableColumn id="6" xr3:uid="{2386B48C-818F-A349-9A1F-FE59DA94CD5A}" uniqueName="6" name="Purchase Amount" queryTableFieldId="6"/>
    <tableColumn id="7" xr3:uid="{E251482A-74F9-8D4D-AB3B-D335AF2D036F}" uniqueName="7" name="Customer Age" queryTableFieldId="7"/>
    <tableColumn id="8" xr3:uid="{D2194F9F-B2FD-EB48-BD9E-E8D2353DA826}" uniqueName="8" name="Gender" queryTableFieldId="8" dataDxfId="2"/>
    <tableColumn id="21" xr3:uid="{9008194C-67DA-D543-BA89-A57DE891F1E5}" uniqueName="21" name="Customer Service Interaction_Clean" queryTableFieldId="23"/>
    <tableColumn id="10" xr3:uid="{53AA8F23-56AD-C949-B27E-04A9BF2113DD}" uniqueName="10" name="Gender_Clean" queryTableFieldId="10"/>
    <tableColumn id="11" xr3:uid="{3B6376E8-1AB3-BC40-BD58-C6979FC719F5}" uniqueName="11" name="Purchase Amount_Financial KPI" queryTableFieldId="11"/>
    <tableColumn id="17" xr3:uid="{F011D890-957A-4147-BB2A-02E896B1C45C}" uniqueName="17" name="Satisfaction Feedback_Status" queryTableFieldId="17"/>
    <tableColumn id="13" xr3:uid="{EB1805DD-AFA1-2945-BAC0-E694C6633BD0}" uniqueName="13" name="Delivery_Status" queryTableFieldId="13"/>
    <tableColumn id="20" xr3:uid="{79C9FC43-5B1B-B54E-B751-BCD874730FEA}" uniqueName="20" name="Customer Age_Group" queryTableFieldId="22"/>
    <tableColumn id="14" xr3:uid="{0C7FA7C0-DFEB-AE43-B58F-9C6507EBD331}" uniqueName="14" name="SLA_Target Days" queryTableFieldId="14" dataDxfId="1">
      <calculatedColumnFormula>_xlfn.XLOOKUP(customer_satisfaction_cleaned[[#This Row],[Product Category]],Table2[Product Category],Table2[Delivery SLA (Days)],"NA",0)</calculatedColumnFormula>
    </tableColumn>
    <tableColumn id="15" xr3:uid="{7D5760CA-0B3D-044A-8D18-34EE13BAC4A9}" uniqueName="15" name="SLA_Met_Status" queryTableFieldId="15" dataDxfId="0">
      <calculatedColumnFormula>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6DD438-D4FC-C04B-A49C-615C279F867E}" name="Table2" displayName="Table2" ref="A1:C5" totalsRowShown="0">
  <autoFilter ref="A1:C5" xr:uid="{836DD438-D4FC-C04B-A49C-615C279F867E}"/>
  <tableColumns count="3">
    <tableColumn id="1" xr3:uid="{B7574760-075E-CF41-951B-3E99D06A3AFB}" name="Product Category"/>
    <tableColumn id="2" xr3:uid="{59D8D00C-BB2D-8547-8EB6-EF1EDDABA6AB}" name="Delivery SLA (Days)"/>
    <tableColumn id="4" xr3:uid="{D3AF273F-0874-8047-9F06-C26C3DAD08CA}" name="Late Threshol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45ED4-C8A8-D14B-B1EE-32CCE2E1B8A5}">
  <dimension ref="P14:P18"/>
  <sheetViews>
    <sheetView showGridLines="0" tabSelected="1" topLeftCell="A2" zoomScale="70" zoomScaleNormal="70" workbookViewId="0">
      <selection activeCell="A25" sqref="A25"/>
    </sheetView>
  </sheetViews>
  <sheetFormatPr baseColWidth="10" defaultRowHeight="16" x14ac:dyDescent="0.2"/>
  <cols>
    <col min="1" max="1" width="14.6640625" customWidth="1"/>
    <col min="15" max="15" width="27.1640625" bestFit="1" customWidth="1"/>
    <col min="16" max="16" width="12.5" bestFit="1" customWidth="1"/>
  </cols>
  <sheetData>
    <row r="14" spans="16:16" x14ac:dyDescent="0.2">
      <c r="P14" s="1"/>
    </row>
    <row r="15" spans="16:16" x14ac:dyDescent="0.2">
      <c r="P15" s="1"/>
    </row>
    <row r="16" spans="16:16" x14ac:dyDescent="0.2">
      <c r="P16" s="1"/>
    </row>
    <row r="17" spans="16:16" x14ac:dyDescent="0.2">
      <c r="P17" s="1"/>
    </row>
    <row r="18" spans="16:16" x14ac:dyDescent="0.2">
      <c r="P18" s="4"/>
    </row>
  </sheetData>
  <pageMargins left="0.7" right="0.7" top="0.75" bottom="0.75" header="0.3" footer="0.3"/>
  <pageSetup paperSize="9" orientation="portrait" horizontalDpi="0" verticalDpi="0"/>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4D4E3-8C91-A142-9ACF-9CF2D4B03FBA}">
  <dimension ref="A3:K9"/>
  <sheetViews>
    <sheetView workbookViewId="0">
      <selection activeCell="B3" sqref="B3"/>
    </sheetView>
  </sheetViews>
  <sheetFormatPr baseColWidth="10" defaultRowHeight="16" x14ac:dyDescent="0.2"/>
  <cols>
    <col min="1" max="1" width="18" bestFit="1" customWidth="1"/>
    <col min="2" max="2" width="25.5" bestFit="1" customWidth="1"/>
    <col min="3" max="4" width="11.6640625" bestFit="1" customWidth="1"/>
    <col min="5" max="5" width="19.1640625" bestFit="1" customWidth="1"/>
    <col min="10" max="10" width="27.1640625" bestFit="1" customWidth="1"/>
    <col min="11" max="11" width="12.5" bestFit="1" customWidth="1"/>
  </cols>
  <sheetData>
    <row r="3" spans="1:11" x14ac:dyDescent="0.2">
      <c r="A3" s="2" t="s">
        <v>1</v>
      </c>
      <c r="B3" t="s">
        <v>929</v>
      </c>
      <c r="J3" t="s">
        <v>927</v>
      </c>
      <c r="K3" s="1">
        <f>COUNTIFS(customer_satisfaction_cleaned[Customer Service Interaction_Clean],"YES")/COUNTA(customer_satisfaction_cleaned[Customer ID])</f>
        <v>0.41113490364025695</v>
      </c>
    </row>
    <row r="4" spans="1:11" x14ac:dyDescent="0.2">
      <c r="A4" t="s">
        <v>18</v>
      </c>
      <c r="B4" s="3">
        <v>6.9198312236286919</v>
      </c>
      <c r="J4" t="s">
        <v>928</v>
      </c>
      <c r="K4" s="1">
        <f>COUNTIFS(customer_satisfaction_cleaned[Satisfaction Score],"&lt;=5",customer_satisfaction_cleaned[SLA_Met_Status],"SLA fail : late delivery")/COUNTA(customer_satisfaction_cleaned[Customer ID])</f>
        <v>3.3190578158458245E-2</v>
      </c>
    </row>
    <row r="5" spans="1:11" x14ac:dyDescent="0.2">
      <c r="A5" t="s">
        <v>47</v>
      </c>
      <c r="B5" s="3">
        <v>7.105820105820106</v>
      </c>
      <c r="J5" t="s">
        <v>938</v>
      </c>
      <c r="K5" s="1">
        <f>COUNTIFS(customer_satisfaction_cleaned[SLA_Met_Status],"SLA fail : late delivery")/COUNTA(customer_satisfaction_cleaned[Customer ID])</f>
        <v>0.14775160599571735</v>
      </c>
    </row>
    <row r="6" spans="1:11" x14ac:dyDescent="0.2">
      <c r="A6" t="s">
        <v>12</v>
      </c>
      <c r="B6" s="3">
        <v>7.0414746543778799</v>
      </c>
      <c r="J6" t="s">
        <v>932</v>
      </c>
      <c r="K6" s="1">
        <f>COUNTIFS(customer_satisfaction_cleaned[Satisfaction Feedback_Status],"FEEDBACK MISSING")/COUNTA(customer_satisfaction_cleaned[Customer ID])</f>
        <v>4.8179871520342615E-2</v>
      </c>
    </row>
    <row r="7" spans="1:11" x14ac:dyDescent="0.2">
      <c r="A7" t="s">
        <v>23</v>
      </c>
      <c r="B7" s="3">
        <v>7.1487179487179491</v>
      </c>
      <c r="J7" t="s">
        <v>933</v>
      </c>
      <c r="K7" s="7">
        <f>SUM(customer_satisfaction_cleaned[Purchase Amount_Financial KPI])</f>
        <v>314614.91999999975</v>
      </c>
    </row>
    <row r="8" spans="1:11" x14ac:dyDescent="0.2">
      <c r="A8" t="s">
        <v>36</v>
      </c>
      <c r="B8" s="3">
        <v>7.215686274509804</v>
      </c>
    </row>
    <row r="9" spans="1:11" x14ac:dyDescent="0.2">
      <c r="A9" t="s">
        <v>930</v>
      </c>
      <c r="B9" s="3">
        <v>7.056242969628796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F610B-FFE3-6E4C-B3ED-F7253C405593}">
  <dimension ref="A1:B6"/>
  <sheetViews>
    <sheetView topLeftCell="A4" workbookViewId="0">
      <selection activeCell="G29" sqref="G29"/>
    </sheetView>
  </sheetViews>
  <sheetFormatPr baseColWidth="10" defaultRowHeight="16" x14ac:dyDescent="0.2"/>
  <cols>
    <col min="1" max="1" width="18" bestFit="1" customWidth="1"/>
    <col min="2" max="2" width="24.33203125" bestFit="1" customWidth="1"/>
  </cols>
  <sheetData>
    <row r="1" spans="1:2" x14ac:dyDescent="0.2">
      <c r="A1" s="2" t="s">
        <v>1</v>
      </c>
      <c r="B1" t="s">
        <v>931</v>
      </c>
    </row>
    <row r="2" spans="1:2" x14ac:dyDescent="0.2">
      <c r="A2" t="s">
        <v>36</v>
      </c>
      <c r="B2" s="3">
        <v>4.854166666666667</v>
      </c>
    </row>
    <row r="3" spans="1:2" x14ac:dyDescent="0.2">
      <c r="A3" t="s">
        <v>23</v>
      </c>
      <c r="B3" s="3">
        <v>5.1709844559585489</v>
      </c>
    </row>
    <row r="4" spans="1:2" x14ac:dyDescent="0.2">
      <c r="A4" t="s">
        <v>12</v>
      </c>
      <c r="B4" s="3">
        <v>5.1395348837209305</v>
      </c>
    </row>
    <row r="5" spans="1:2" x14ac:dyDescent="0.2">
      <c r="A5" t="s">
        <v>47</v>
      </c>
      <c r="B5" s="3">
        <v>4.9734042553191493</v>
      </c>
    </row>
    <row r="6" spans="1:2" x14ac:dyDescent="0.2">
      <c r="A6" t="s">
        <v>18</v>
      </c>
      <c r="B6" s="3">
        <v>5.1391304347826088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4564A-A13F-F34E-B3BF-3F8684987E9B}">
  <dimension ref="A1:C6"/>
  <sheetViews>
    <sheetView workbookViewId="0">
      <selection activeCell="B2" sqref="B2"/>
    </sheetView>
  </sheetViews>
  <sheetFormatPr baseColWidth="10" defaultRowHeight="16" x14ac:dyDescent="0.2"/>
  <cols>
    <col min="1" max="1" width="18" bestFit="1" customWidth="1"/>
    <col min="2" max="2" width="20" bestFit="1" customWidth="1"/>
    <col min="3" max="3" width="18.33203125" bestFit="1" customWidth="1"/>
  </cols>
  <sheetData>
    <row r="1" spans="1:3" x14ac:dyDescent="0.2">
      <c r="A1" s="2" t="s">
        <v>1</v>
      </c>
      <c r="B1" t="s">
        <v>939</v>
      </c>
      <c r="C1" t="s">
        <v>940</v>
      </c>
    </row>
    <row r="2" spans="1:3" x14ac:dyDescent="0.2">
      <c r="A2" t="s">
        <v>18</v>
      </c>
      <c r="B2" s="5">
        <v>144.01184000000006</v>
      </c>
      <c r="C2">
        <v>250</v>
      </c>
    </row>
    <row r="3" spans="1:3" x14ac:dyDescent="0.2">
      <c r="A3" t="s">
        <v>47</v>
      </c>
      <c r="B3" s="5">
        <v>483.76015000000001</v>
      </c>
      <c r="C3">
        <v>200</v>
      </c>
    </row>
    <row r="4" spans="1:3" x14ac:dyDescent="0.2">
      <c r="A4" t="s">
        <v>12</v>
      </c>
      <c r="B4" s="5">
        <v>391.49933035714287</v>
      </c>
      <c r="C4">
        <v>224</v>
      </c>
    </row>
    <row r="5" spans="1:3" x14ac:dyDescent="0.2">
      <c r="A5" t="s">
        <v>23</v>
      </c>
      <c r="B5" s="5">
        <v>428.17179611650488</v>
      </c>
      <c r="C5">
        <v>206</v>
      </c>
    </row>
    <row r="6" spans="1:3" x14ac:dyDescent="0.2">
      <c r="A6" t="s">
        <v>36</v>
      </c>
      <c r="B6" s="5">
        <v>110.38314814814818</v>
      </c>
      <c r="C6">
        <v>54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D6271-882B-7642-B847-44BE65177180}">
  <dimension ref="A1:B3"/>
  <sheetViews>
    <sheetView workbookViewId="0">
      <selection activeCell="B2" sqref="B2"/>
    </sheetView>
  </sheetViews>
  <sheetFormatPr baseColWidth="10" defaultRowHeight="16" x14ac:dyDescent="0.2"/>
  <cols>
    <col min="1" max="1" width="28.5" bestFit="1" customWidth="1"/>
    <col min="2" max="2" width="19.1640625" bestFit="1" customWidth="1"/>
  </cols>
  <sheetData>
    <row r="1" spans="1:2" x14ac:dyDescent="0.2">
      <c r="A1" s="2" t="s">
        <v>920</v>
      </c>
      <c r="B1" s="3" t="s">
        <v>934</v>
      </c>
    </row>
    <row r="2" spans="1:2" x14ac:dyDescent="0.2">
      <c r="A2" t="s">
        <v>936</v>
      </c>
      <c r="B2" s="6">
        <v>4.8179871520342615E-2</v>
      </c>
    </row>
    <row r="3" spans="1:2" x14ac:dyDescent="0.2">
      <c r="A3" t="s">
        <v>16</v>
      </c>
      <c r="B3" s="6">
        <v>0.95182012847965736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94069-2E78-9741-80CF-8973E91084CE}">
  <dimension ref="A1:B4"/>
  <sheetViews>
    <sheetView workbookViewId="0">
      <selection activeCell="D29" sqref="D29"/>
    </sheetView>
  </sheetViews>
  <sheetFormatPr baseColWidth="10" defaultRowHeight="16" x14ac:dyDescent="0.2"/>
  <cols>
    <col min="1" max="1" width="24.6640625" bestFit="1" customWidth="1"/>
    <col min="2" max="2" width="19.1640625" bestFit="1" customWidth="1"/>
  </cols>
  <sheetData>
    <row r="1" spans="1:2" x14ac:dyDescent="0.2">
      <c r="A1" s="2" t="s">
        <v>919</v>
      </c>
      <c r="B1" t="s">
        <v>934</v>
      </c>
    </row>
    <row r="2" spans="1:2" x14ac:dyDescent="0.2">
      <c r="A2" t="s">
        <v>941</v>
      </c>
      <c r="B2" s="6">
        <v>0.7366167023554604</v>
      </c>
    </row>
    <row r="3" spans="1:2" x14ac:dyDescent="0.2">
      <c r="A3" t="s">
        <v>942</v>
      </c>
      <c r="B3" s="6">
        <v>0.14775160599571735</v>
      </c>
    </row>
    <row r="4" spans="1:2" x14ac:dyDescent="0.2">
      <c r="A4" t="s">
        <v>943</v>
      </c>
      <c r="B4" s="6">
        <v>0.11563169164882227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4615F-878F-7847-86B6-16C034101A7E}">
  <dimension ref="A1:P935"/>
  <sheetViews>
    <sheetView topLeftCell="E1" zoomScale="80" zoomScaleNormal="80" workbookViewId="0">
      <selection activeCell="P3" sqref="P3"/>
    </sheetView>
  </sheetViews>
  <sheetFormatPr baseColWidth="10" defaultRowHeight="16" x14ac:dyDescent="0.2"/>
  <cols>
    <col min="1" max="1" width="15.1640625" bestFit="1" customWidth="1"/>
    <col min="2" max="2" width="19" bestFit="1" customWidth="1"/>
    <col min="3" max="3" width="20.33203125" bestFit="1" customWidth="1"/>
    <col min="4" max="4" width="18.6640625" bestFit="1" customWidth="1"/>
    <col min="5" max="5" width="29.83203125" bestFit="1" customWidth="1"/>
    <col min="6" max="6" width="19.5" bestFit="1" customWidth="1"/>
    <col min="7" max="7" width="16.6640625" bestFit="1" customWidth="1"/>
    <col min="8" max="8" width="18.5" bestFit="1" customWidth="1"/>
    <col min="9" max="9" width="35.83203125" bestFit="1" customWidth="1"/>
    <col min="10" max="10" width="16.5" bestFit="1" customWidth="1"/>
    <col min="11" max="11" width="32.5" bestFit="1" customWidth="1"/>
    <col min="12" max="12" width="30.33203125" customWidth="1"/>
    <col min="13" max="13" width="23.6640625" bestFit="1" customWidth="1"/>
    <col min="14" max="14" width="22.6640625" bestFit="1" customWidth="1"/>
    <col min="15" max="15" width="18.6640625" bestFit="1" customWidth="1"/>
    <col min="16" max="16" width="25.83203125" bestFit="1" customWidth="1"/>
    <col min="17" max="17" width="28.5" bestFit="1" customWidth="1"/>
    <col min="18" max="18" width="26.1640625" bestFit="1" customWidth="1"/>
    <col min="19" max="19" width="28.5" bestFit="1" customWidth="1"/>
  </cols>
  <sheetData>
    <row r="1" spans="1:16" x14ac:dyDescent="0.2">
      <c r="A1" t="s">
        <v>0</v>
      </c>
      <c r="B1" t="s">
        <v>1</v>
      </c>
      <c r="C1" t="s">
        <v>2</v>
      </c>
      <c r="D1" t="s">
        <v>3</v>
      </c>
      <c r="E1" t="s">
        <v>4</v>
      </c>
      <c r="F1" t="s">
        <v>5</v>
      </c>
      <c r="G1" t="s">
        <v>6</v>
      </c>
      <c r="H1" t="s">
        <v>7</v>
      </c>
      <c r="I1" t="s">
        <v>935</v>
      </c>
      <c r="J1" t="s">
        <v>8</v>
      </c>
      <c r="K1" t="s">
        <v>9</v>
      </c>
      <c r="L1" t="s">
        <v>920</v>
      </c>
      <c r="M1" t="s">
        <v>10</v>
      </c>
      <c r="N1" t="s">
        <v>921</v>
      </c>
      <c r="O1" t="s">
        <v>918</v>
      </c>
      <c r="P1" t="s">
        <v>919</v>
      </c>
    </row>
    <row r="2" spans="1:16" x14ac:dyDescent="0.2">
      <c r="A2" t="s">
        <v>11</v>
      </c>
      <c r="B2" t="s">
        <v>12</v>
      </c>
      <c r="C2">
        <v>7</v>
      </c>
      <c r="D2">
        <v>8</v>
      </c>
      <c r="E2" t="s">
        <v>13</v>
      </c>
      <c r="F2">
        <v>89.71</v>
      </c>
      <c r="H2" t="s">
        <v>14</v>
      </c>
      <c r="I2" t="s">
        <v>13</v>
      </c>
      <c r="J2" t="s">
        <v>15</v>
      </c>
      <c r="K2">
        <v>89.71</v>
      </c>
      <c r="L2" t="s">
        <v>16</v>
      </c>
      <c r="M2" t="s">
        <v>16</v>
      </c>
      <c r="N2" t="s">
        <v>922</v>
      </c>
      <c r="O2">
        <f>_xlfn.XLOOKUP(customer_satisfaction_cleaned[[#This Row],[Product Category]],Table2[Product Category],Table2[Delivery SLA (Days)],"NA",0)</f>
        <v>5</v>
      </c>
      <c r="P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 spans="1:16" x14ac:dyDescent="0.2">
      <c r="A3" t="s">
        <v>17</v>
      </c>
      <c r="B3" t="s">
        <v>18</v>
      </c>
      <c r="D3">
        <v>3</v>
      </c>
      <c r="E3" t="s">
        <v>19</v>
      </c>
      <c r="F3">
        <v>178.39</v>
      </c>
      <c r="G3">
        <v>52</v>
      </c>
      <c r="H3" t="s">
        <v>20</v>
      </c>
      <c r="I3" t="s">
        <v>21</v>
      </c>
      <c r="J3" t="s">
        <v>20</v>
      </c>
      <c r="K3">
        <v>178.39</v>
      </c>
      <c r="L3" t="s">
        <v>936</v>
      </c>
      <c r="M3" t="s">
        <v>16</v>
      </c>
      <c r="N3" t="s">
        <v>923</v>
      </c>
      <c r="O3">
        <f>_xlfn.XLOOKUP(customer_satisfaction_cleaned[[#This Row],[Product Category]],Table2[Product Category],Table2[Delivery SLA (Days)],"NA",0)</f>
        <v>10</v>
      </c>
      <c r="P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 spans="1:16" x14ac:dyDescent="0.2">
      <c r="A4" t="s">
        <v>22</v>
      </c>
      <c r="B4" t="s">
        <v>23</v>
      </c>
      <c r="C4">
        <v>8</v>
      </c>
      <c r="D4">
        <v>6</v>
      </c>
      <c r="E4" t="s">
        <v>13</v>
      </c>
      <c r="F4">
        <v>81.709999999999994</v>
      </c>
      <c r="G4">
        <v>33</v>
      </c>
      <c r="H4" t="s">
        <v>24</v>
      </c>
      <c r="I4" t="s">
        <v>13</v>
      </c>
      <c r="J4" t="s">
        <v>25</v>
      </c>
      <c r="K4">
        <v>81.709999999999994</v>
      </c>
      <c r="L4" t="s">
        <v>16</v>
      </c>
      <c r="M4" t="s">
        <v>16</v>
      </c>
      <c r="N4" t="s">
        <v>923</v>
      </c>
      <c r="O4">
        <f>_xlfn.XLOOKUP(customer_satisfaction_cleaned[[#This Row],[Product Category]],Table2[Product Category],Table2[Delivery SLA (Days)],"NA",0)</f>
        <v>7</v>
      </c>
      <c r="P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 spans="1:16" x14ac:dyDescent="0.2">
      <c r="A5" t="s">
        <v>26</v>
      </c>
      <c r="B5" t="s">
        <v>12</v>
      </c>
      <c r="C5">
        <v>9</v>
      </c>
      <c r="D5">
        <v>7</v>
      </c>
      <c r="E5" t="s">
        <v>21</v>
      </c>
      <c r="F5">
        <v>83.18</v>
      </c>
      <c r="G5">
        <v>46</v>
      </c>
      <c r="H5" t="s">
        <v>24</v>
      </c>
      <c r="I5" t="s">
        <v>21</v>
      </c>
      <c r="J5" t="s">
        <v>25</v>
      </c>
      <c r="K5">
        <v>83.18</v>
      </c>
      <c r="L5" t="s">
        <v>16</v>
      </c>
      <c r="M5" t="s">
        <v>16</v>
      </c>
      <c r="N5" t="s">
        <v>923</v>
      </c>
      <c r="O5">
        <f>_xlfn.XLOOKUP(customer_satisfaction_cleaned[[#This Row],[Product Category]],Table2[Product Category],Table2[Delivery SLA (Days)],"NA",0)</f>
        <v>5</v>
      </c>
      <c r="P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 spans="1:16" x14ac:dyDescent="0.2">
      <c r="A6" t="s">
        <v>27</v>
      </c>
      <c r="B6" t="s">
        <v>18</v>
      </c>
      <c r="D6">
        <v>7</v>
      </c>
      <c r="E6" t="s">
        <v>21</v>
      </c>
      <c r="F6">
        <v>68.8</v>
      </c>
      <c r="G6">
        <v>36</v>
      </c>
      <c r="H6" t="s">
        <v>15</v>
      </c>
      <c r="I6" t="s">
        <v>21</v>
      </c>
      <c r="J6" t="s">
        <v>15</v>
      </c>
      <c r="K6">
        <v>68.8</v>
      </c>
      <c r="L6" t="s">
        <v>936</v>
      </c>
      <c r="M6" t="s">
        <v>16</v>
      </c>
      <c r="N6" t="s">
        <v>923</v>
      </c>
      <c r="O6">
        <f>_xlfn.XLOOKUP(customer_satisfaction_cleaned[[#This Row],[Product Category]],Table2[Product Category],Table2[Delivery SLA (Days)],"NA",0)</f>
        <v>10</v>
      </c>
      <c r="P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 spans="1:16" x14ac:dyDescent="0.2">
      <c r="A7" t="s">
        <v>28</v>
      </c>
      <c r="B7" t="s">
        <v>12</v>
      </c>
      <c r="C7">
        <v>5</v>
      </c>
      <c r="D7">
        <v>1</v>
      </c>
      <c r="E7" t="s">
        <v>29</v>
      </c>
      <c r="F7">
        <v>211.03</v>
      </c>
      <c r="G7">
        <v>33</v>
      </c>
      <c r="H7" t="s">
        <v>20</v>
      </c>
      <c r="I7" t="s">
        <v>25</v>
      </c>
      <c r="J7" t="s">
        <v>20</v>
      </c>
      <c r="K7">
        <v>211.03</v>
      </c>
      <c r="L7" t="s">
        <v>16</v>
      </c>
      <c r="M7" t="s">
        <v>16</v>
      </c>
      <c r="N7" t="s">
        <v>923</v>
      </c>
      <c r="O7">
        <f>_xlfn.XLOOKUP(customer_satisfaction_cleaned[[#This Row],[Product Category]],Table2[Product Category],Table2[Delivery SLA (Days)],"NA",0)</f>
        <v>5</v>
      </c>
      <c r="P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 spans="1:16" x14ac:dyDescent="0.2">
      <c r="A8" t="s">
        <v>30</v>
      </c>
      <c r="B8" t="s">
        <v>18</v>
      </c>
      <c r="C8">
        <v>6</v>
      </c>
      <c r="D8">
        <v>3</v>
      </c>
      <c r="E8" t="s">
        <v>13</v>
      </c>
      <c r="F8">
        <v>159.02000000000001</v>
      </c>
      <c r="G8">
        <v>51</v>
      </c>
      <c r="H8" t="s">
        <v>29</v>
      </c>
      <c r="I8" t="s">
        <v>13</v>
      </c>
      <c r="J8" t="s">
        <v>25</v>
      </c>
      <c r="K8">
        <v>159.02000000000001</v>
      </c>
      <c r="L8" t="s">
        <v>16</v>
      </c>
      <c r="M8" t="s">
        <v>16</v>
      </c>
      <c r="N8" t="s">
        <v>923</v>
      </c>
      <c r="O8">
        <f>_xlfn.XLOOKUP(customer_satisfaction_cleaned[[#This Row],[Product Category]],Table2[Product Category],Table2[Delivery SLA (Days)],"NA",0)</f>
        <v>10</v>
      </c>
      <c r="P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 spans="1:16" x14ac:dyDescent="0.2">
      <c r="A9" t="s">
        <v>31</v>
      </c>
      <c r="B9" t="s">
        <v>23</v>
      </c>
      <c r="C9">
        <v>5</v>
      </c>
      <c r="D9">
        <v>6</v>
      </c>
      <c r="E9" t="s">
        <v>19</v>
      </c>
      <c r="F9">
        <v>60.5</v>
      </c>
      <c r="G9">
        <v>28</v>
      </c>
      <c r="H9" t="s">
        <v>15</v>
      </c>
      <c r="I9" t="s">
        <v>21</v>
      </c>
      <c r="J9" t="s">
        <v>15</v>
      </c>
      <c r="K9">
        <v>60.5</v>
      </c>
      <c r="L9" t="s">
        <v>16</v>
      </c>
      <c r="M9" t="s">
        <v>16</v>
      </c>
      <c r="N9" t="s">
        <v>924</v>
      </c>
      <c r="O9">
        <f>_xlfn.XLOOKUP(customer_satisfaction_cleaned[[#This Row],[Product Category]],Table2[Product Category],Table2[Delivery SLA (Days)],"NA",0)</f>
        <v>7</v>
      </c>
      <c r="P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 spans="1:16" x14ac:dyDescent="0.2">
      <c r="A10" t="s">
        <v>17</v>
      </c>
      <c r="B10" t="s">
        <v>12</v>
      </c>
      <c r="C10">
        <v>6</v>
      </c>
      <c r="D10">
        <v>2</v>
      </c>
      <c r="E10" t="s">
        <v>32</v>
      </c>
      <c r="F10">
        <v>49.95</v>
      </c>
      <c r="G10">
        <v>65</v>
      </c>
      <c r="H10" t="s">
        <v>29</v>
      </c>
      <c r="I10" t="s">
        <v>13</v>
      </c>
      <c r="J10" t="s">
        <v>25</v>
      </c>
      <c r="K10">
        <v>49.95</v>
      </c>
      <c r="L10" t="s">
        <v>16</v>
      </c>
      <c r="M10" t="s">
        <v>16</v>
      </c>
      <c r="N10" t="s">
        <v>925</v>
      </c>
      <c r="O10">
        <f>_xlfn.XLOOKUP(customer_satisfaction_cleaned[[#This Row],[Product Category]],Table2[Product Category],Table2[Delivery SLA (Days)],"NA",0)</f>
        <v>5</v>
      </c>
      <c r="P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 spans="1:16" x14ac:dyDescent="0.2">
      <c r="A11" t="s">
        <v>33</v>
      </c>
      <c r="B11" t="s">
        <v>23</v>
      </c>
      <c r="C11">
        <v>9</v>
      </c>
      <c r="D11">
        <v>3</v>
      </c>
      <c r="E11" t="s">
        <v>19</v>
      </c>
      <c r="F11">
        <v>168.99</v>
      </c>
      <c r="G11">
        <v>35</v>
      </c>
      <c r="H11" t="s">
        <v>34</v>
      </c>
      <c r="I11" t="s">
        <v>21</v>
      </c>
      <c r="J11" t="s">
        <v>25</v>
      </c>
      <c r="K11">
        <v>168.99</v>
      </c>
      <c r="L11" t="s">
        <v>16</v>
      </c>
      <c r="M11" t="s">
        <v>16</v>
      </c>
      <c r="N11" t="s">
        <v>923</v>
      </c>
      <c r="O11">
        <f>_xlfn.XLOOKUP(customer_satisfaction_cleaned[[#This Row],[Product Category]],Table2[Product Category],Table2[Delivery SLA (Days)],"NA",0)</f>
        <v>7</v>
      </c>
      <c r="P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 spans="1:16" x14ac:dyDescent="0.2">
      <c r="A12" t="s">
        <v>35</v>
      </c>
      <c r="B12" t="s">
        <v>36</v>
      </c>
      <c r="C12">
        <v>8</v>
      </c>
      <c r="D12">
        <v>5</v>
      </c>
      <c r="E12" t="s">
        <v>13</v>
      </c>
      <c r="F12">
        <v>169.96</v>
      </c>
      <c r="G12">
        <v>63</v>
      </c>
      <c r="H12" t="s">
        <v>14</v>
      </c>
      <c r="I12" t="s">
        <v>13</v>
      </c>
      <c r="J12" t="s">
        <v>15</v>
      </c>
      <c r="K12">
        <v>169.96</v>
      </c>
      <c r="L12" t="s">
        <v>16</v>
      </c>
      <c r="M12" t="s">
        <v>16</v>
      </c>
      <c r="N12" t="s">
        <v>925</v>
      </c>
      <c r="O12" t="str">
        <f>_xlfn.XLOOKUP(customer_satisfaction_cleaned[[#This Row],[Product Category]],Table2[Product Category],Table2[Delivery SLA (Days)],"NA",0)</f>
        <v>NA</v>
      </c>
      <c r="P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3" spans="1:16" x14ac:dyDescent="0.2">
      <c r="A13" t="s">
        <v>37</v>
      </c>
      <c r="B13" t="s">
        <v>18</v>
      </c>
      <c r="C13">
        <v>4</v>
      </c>
      <c r="D13">
        <v>0</v>
      </c>
      <c r="E13" t="s">
        <v>19</v>
      </c>
      <c r="F13">
        <v>30.15</v>
      </c>
      <c r="G13">
        <v>32</v>
      </c>
      <c r="H13" t="s">
        <v>20</v>
      </c>
      <c r="I13" t="s">
        <v>21</v>
      </c>
      <c r="J13" t="s">
        <v>20</v>
      </c>
      <c r="K13">
        <v>30.15</v>
      </c>
      <c r="L13" t="s">
        <v>16</v>
      </c>
      <c r="M13" t="s">
        <v>16</v>
      </c>
      <c r="N13" t="s">
        <v>923</v>
      </c>
      <c r="O13">
        <f>_xlfn.XLOOKUP(customer_satisfaction_cleaned[[#This Row],[Product Category]],Table2[Product Category],Table2[Delivery SLA (Days)],"NA",0)</f>
        <v>10</v>
      </c>
      <c r="P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 spans="1:16" x14ac:dyDescent="0.2">
      <c r="A14" t="s">
        <v>38</v>
      </c>
      <c r="B14" t="s">
        <v>23</v>
      </c>
      <c r="C14">
        <v>10</v>
      </c>
      <c r="D14">
        <v>6</v>
      </c>
      <c r="E14" t="s">
        <v>21</v>
      </c>
      <c r="F14">
        <v>150.72999999999999</v>
      </c>
      <c r="G14">
        <v>30</v>
      </c>
      <c r="H14" t="s">
        <v>15</v>
      </c>
      <c r="I14" t="s">
        <v>21</v>
      </c>
      <c r="J14" t="s">
        <v>15</v>
      </c>
      <c r="K14">
        <v>150.72999999999999</v>
      </c>
      <c r="L14" t="s">
        <v>16</v>
      </c>
      <c r="M14" t="s">
        <v>16</v>
      </c>
      <c r="N14" t="s">
        <v>923</v>
      </c>
      <c r="O14">
        <f>_xlfn.XLOOKUP(customer_satisfaction_cleaned[[#This Row],[Product Category]],Table2[Product Category],Table2[Delivery SLA (Days)],"NA",0)</f>
        <v>7</v>
      </c>
      <c r="P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 spans="1:16" x14ac:dyDescent="0.2">
      <c r="A15" t="s">
        <v>39</v>
      </c>
      <c r="B15" t="s">
        <v>36</v>
      </c>
      <c r="C15">
        <v>9</v>
      </c>
      <c r="D15">
        <v>3</v>
      </c>
      <c r="E15" t="s">
        <v>21</v>
      </c>
      <c r="F15">
        <v>186.74</v>
      </c>
      <c r="G15">
        <v>16</v>
      </c>
      <c r="H15" t="s">
        <v>14</v>
      </c>
      <c r="I15" t="s">
        <v>21</v>
      </c>
      <c r="J15" t="s">
        <v>15</v>
      </c>
      <c r="K15">
        <v>186.74</v>
      </c>
      <c r="L15" t="s">
        <v>16</v>
      </c>
      <c r="M15" t="s">
        <v>16</v>
      </c>
      <c r="N15" t="s">
        <v>924</v>
      </c>
      <c r="O15" t="str">
        <f>_xlfn.XLOOKUP(customer_satisfaction_cleaned[[#This Row],[Product Category]],Table2[Product Category],Table2[Delivery SLA (Days)],"NA",0)</f>
        <v>NA</v>
      </c>
      <c r="P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6" spans="1:16" x14ac:dyDescent="0.2">
      <c r="A16" t="s">
        <v>40</v>
      </c>
      <c r="B16" t="s">
        <v>23</v>
      </c>
      <c r="C16">
        <v>4</v>
      </c>
      <c r="D16">
        <v>6</v>
      </c>
      <c r="E16" t="s">
        <v>29</v>
      </c>
      <c r="F16">
        <v>69.73</v>
      </c>
      <c r="G16">
        <v>29</v>
      </c>
      <c r="H16" t="s">
        <v>15</v>
      </c>
      <c r="I16" t="s">
        <v>25</v>
      </c>
      <c r="J16" t="s">
        <v>15</v>
      </c>
      <c r="K16">
        <v>69.73</v>
      </c>
      <c r="L16" t="s">
        <v>16</v>
      </c>
      <c r="M16" t="s">
        <v>16</v>
      </c>
      <c r="N16" t="s">
        <v>924</v>
      </c>
      <c r="O16">
        <f>_xlfn.XLOOKUP(customer_satisfaction_cleaned[[#This Row],[Product Category]],Table2[Product Category],Table2[Delivery SLA (Days)],"NA",0)</f>
        <v>7</v>
      </c>
      <c r="P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 spans="1:16" x14ac:dyDescent="0.2">
      <c r="A17" t="s">
        <v>41</v>
      </c>
      <c r="B17" t="s">
        <v>18</v>
      </c>
      <c r="D17">
        <v>5</v>
      </c>
      <c r="E17" t="s">
        <v>19</v>
      </c>
      <c r="F17">
        <v>41.39</v>
      </c>
      <c r="G17">
        <v>22</v>
      </c>
      <c r="H17" t="s">
        <v>42</v>
      </c>
      <c r="I17" t="s">
        <v>21</v>
      </c>
      <c r="J17" t="s">
        <v>25</v>
      </c>
      <c r="K17">
        <v>41.39</v>
      </c>
      <c r="L17" t="s">
        <v>936</v>
      </c>
      <c r="M17" t="s">
        <v>16</v>
      </c>
      <c r="N17" t="s">
        <v>924</v>
      </c>
      <c r="O17">
        <f>_xlfn.XLOOKUP(customer_satisfaction_cleaned[[#This Row],[Product Category]],Table2[Product Category],Table2[Delivery SLA (Days)],"NA",0)</f>
        <v>10</v>
      </c>
      <c r="P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 spans="1:16" x14ac:dyDescent="0.2">
      <c r="A18" t="s">
        <v>43</v>
      </c>
      <c r="B18" t="s">
        <v>18</v>
      </c>
      <c r="C18">
        <v>6</v>
      </c>
      <c r="D18">
        <v>4</v>
      </c>
      <c r="E18" t="s">
        <v>32</v>
      </c>
      <c r="F18">
        <v>57.33</v>
      </c>
      <c r="G18">
        <v>9</v>
      </c>
      <c r="H18" t="s">
        <v>44</v>
      </c>
      <c r="I18" t="s">
        <v>13</v>
      </c>
      <c r="J18" t="s">
        <v>20</v>
      </c>
      <c r="K18">
        <v>57.33</v>
      </c>
      <c r="L18" t="s">
        <v>16</v>
      </c>
      <c r="M18" t="s">
        <v>16</v>
      </c>
      <c r="N18" t="s">
        <v>926</v>
      </c>
      <c r="O18">
        <f>_xlfn.XLOOKUP(customer_satisfaction_cleaned[[#This Row],[Product Category]],Table2[Product Category],Table2[Delivery SLA (Days)],"NA",0)</f>
        <v>10</v>
      </c>
      <c r="P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 spans="1:16" x14ac:dyDescent="0.2">
      <c r="A19" t="s">
        <v>45</v>
      </c>
      <c r="B19" t="s">
        <v>12</v>
      </c>
      <c r="D19">
        <v>3</v>
      </c>
      <c r="E19" t="s">
        <v>13</v>
      </c>
      <c r="F19">
        <v>13.98</v>
      </c>
      <c r="G19">
        <v>33</v>
      </c>
      <c r="H19" t="s">
        <v>29</v>
      </c>
      <c r="I19" t="s">
        <v>13</v>
      </c>
      <c r="J19" t="s">
        <v>25</v>
      </c>
      <c r="K19">
        <v>13.98</v>
      </c>
      <c r="L19" t="s">
        <v>936</v>
      </c>
      <c r="M19" t="s">
        <v>16</v>
      </c>
      <c r="N19" t="s">
        <v>923</v>
      </c>
      <c r="O19">
        <f>_xlfn.XLOOKUP(customer_satisfaction_cleaned[[#This Row],[Product Category]],Table2[Product Category],Table2[Delivery SLA (Days)],"NA",0)</f>
        <v>5</v>
      </c>
      <c r="P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 spans="1:16" x14ac:dyDescent="0.2">
      <c r="A20" t="s">
        <v>46</v>
      </c>
      <c r="B20" t="s">
        <v>47</v>
      </c>
      <c r="C20">
        <v>9</v>
      </c>
      <c r="D20">
        <v>4</v>
      </c>
      <c r="E20" t="s">
        <v>32</v>
      </c>
      <c r="F20">
        <v>70.239999999999995</v>
      </c>
      <c r="G20">
        <v>26</v>
      </c>
      <c r="H20" t="s">
        <v>34</v>
      </c>
      <c r="I20" t="s">
        <v>13</v>
      </c>
      <c r="J20" t="s">
        <v>25</v>
      </c>
      <c r="K20">
        <v>70.239999999999995</v>
      </c>
      <c r="L20" t="s">
        <v>16</v>
      </c>
      <c r="M20" t="s">
        <v>16</v>
      </c>
      <c r="N20" t="s">
        <v>924</v>
      </c>
      <c r="O20">
        <f>_xlfn.XLOOKUP(customer_satisfaction_cleaned[[#This Row],[Product Category]],Table2[Product Category],Table2[Delivery SLA (Days)],"NA",0)</f>
        <v>7</v>
      </c>
      <c r="P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 spans="1:16" x14ac:dyDescent="0.2">
      <c r="A21" t="s">
        <v>48</v>
      </c>
      <c r="B21" t="s">
        <v>18</v>
      </c>
      <c r="C21">
        <v>7</v>
      </c>
      <c r="D21">
        <v>2</v>
      </c>
      <c r="E21" t="s">
        <v>13</v>
      </c>
      <c r="F21">
        <v>94.68</v>
      </c>
      <c r="G21">
        <v>65</v>
      </c>
      <c r="H21" t="s">
        <v>20</v>
      </c>
      <c r="I21" t="s">
        <v>13</v>
      </c>
      <c r="J21" t="s">
        <v>20</v>
      </c>
      <c r="K21">
        <v>94.68</v>
      </c>
      <c r="L21" t="s">
        <v>16</v>
      </c>
      <c r="M21" t="s">
        <v>16</v>
      </c>
      <c r="N21" t="s">
        <v>925</v>
      </c>
      <c r="O21">
        <f>_xlfn.XLOOKUP(customer_satisfaction_cleaned[[#This Row],[Product Category]],Table2[Product Category],Table2[Delivery SLA (Days)],"NA",0)</f>
        <v>10</v>
      </c>
      <c r="P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 spans="1:16" x14ac:dyDescent="0.2">
      <c r="A22" t="s">
        <v>49</v>
      </c>
      <c r="B22" t="s">
        <v>18</v>
      </c>
      <c r="C22">
        <v>6</v>
      </c>
      <c r="D22">
        <v>5</v>
      </c>
      <c r="E22" t="s">
        <v>29</v>
      </c>
      <c r="F22">
        <v>86.13</v>
      </c>
      <c r="G22">
        <v>18</v>
      </c>
      <c r="H22" t="s">
        <v>15</v>
      </c>
      <c r="I22" t="s">
        <v>25</v>
      </c>
      <c r="J22" t="s">
        <v>15</v>
      </c>
      <c r="K22">
        <v>86.13</v>
      </c>
      <c r="L22" t="s">
        <v>16</v>
      </c>
      <c r="M22" t="s">
        <v>16</v>
      </c>
      <c r="N22" t="s">
        <v>924</v>
      </c>
      <c r="O22">
        <f>_xlfn.XLOOKUP(customer_satisfaction_cleaned[[#This Row],[Product Category]],Table2[Product Category],Table2[Delivery SLA (Days)],"NA",0)</f>
        <v>10</v>
      </c>
      <c r="P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 spans="1:16" x14ac:dyDescent="0.2">
      <c r="A23" t="s">
        <v>50</v>
      </c>
      <c r="B23" t="s">
        <v>23</v>
      </c>
      <c r="C23">
        <v>4</v>
      </c>
      <c r="D23">
        <v>1</v>
      </c>
      <c r="E23" t="s">
        <v>21</v>
      </c>
      <c r="F23">
        <v>88.3</v>
      </c>
      <c r="G23">
        <v>47</v>
      </c>
      <c r="H23" t="s">
        <v>29</v>
      </c>
      <c r="I23" t="s">
        <v>21</v>
      </c>
      <c r="J23" t="s">
        <v>25</v>
      </c>
      <c r="K23">
        <v>88.3</v>
      </c>
      <c r="L23" t="s">
        <v>16</v>
      </c>
      <c r="M23" t="s">
        <v>16</v>
      </c>
      <c r="N23" t="s">
        <v>923</v>
      </c>
      <c r="O23">
        <f>_xlfn.XLOOKUP(customer_satisfaction_cleaned[[#This Row],[Product Category]],Table2[Product Category],Table2[Delivery SLA (Days)],"NA",0)</f>
        <v>7</v>
      </c>
      <c r="P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 spans="1:16" x14ac:dyDescent="0.2">
      <c r="A24" t="s">
        <v>51</v>
      </c>
      <c r="B24" t="s">
        <v>12</v>
      </c>
      <c r="C24">
        <v>3</v>
      </c>
      <c r="D24">
        <v>5</v>
      </c>
      <c r="E24" t="s">
        <v>13</v>
      </c>
      <c r="F24">
        <v>93.26</v>
      </c>
      <c r="G24">
        <v>38</v>
      </c>
      <c r="H24" t="s">
        <v>15</v>
      </c>
      <c r="I24" t="s">
        <v>13</v>
      </c>
      <c r="J24" t="s">
        <v>15</v>
      </c>
      <c r="K24">
        <v>93.26</v>
      </c>
      <c r="L24" t="s">
        <v>16</v>
      </c>
      <c r="M24" t="s">
        <v>16</v>
      </c>
      <c r="N24" t="s">
        <v>923</v>
      </c>
      <c r="O24">
        <f>_xlfn.XLOOKUP(customer_satisfaction_cleaned[[#This Row],[Product Category]],Table2[Product Category],Table2[Delivery SLA (Days)],"NA",0)</f>
        <v>5</v>
      </c>
      <c r="P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 spans="1:16" x14ac:dyDescent="0.2">
      <c r="A25" t="s">
        <v>52</v>
      </c>
      <c r="B25" t="s">
        <v>18</v>
      </c>
      <c r="C25">
        <v>9</v>
      </c>
      <c r="D25">
        <v>7</v>
      </c>
      <c r="E25" t="s">
        <v>21</v>
      </c>
      <c r="F25">
        <v>157.13</v>
      </c>
      <c r="G25">
        <v>53</v>
      </c>
      <c r="H25" t="s">
        <v>24</v>
      </c>
      <c r="I25" t="s">
        <v>21</v>
      </c>
      <c r="J25" t="s">
        <v>25</v>
      </c>
      <c r="K25">
        <v>157.13</v>
      </c>
      <c r="L25" t="s">
        <v>16</v>
      </c>
      <c r="M25" t="s">
        <v>16</v>
      </c>
      <c r="N25" t="s">
        <v>923</v>
      </c>
      <c r="O25">
        <f>_xlfn.XLOOKUP(customer_satisfaction_cleaned[[#This Row],[Product Category]],Table2[Product Category],Table2[Delivery SLA (Days)],"NA",0)</f>
        <v>10</v>
      </c>
      <c r="P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 spans="1:16" x14ac:dyDescent="0.2">
      <c r="A26" t="s">
        <v>53</v>
      </c>
      <c r="B26" t="s">
        <v>47</v>
      </c>
      <c r="C26">
        <v>10</v>
      </c>
      <c r="D26">
        <v>5</v>
      </c>
      <c r="E26" t="s">
        <v>32</v>
      </c>
      <c r="F26">
        <v>171.46</v>
      </c>
      <c r="G26">
        <v>47</v>
      </c>
      <c r="H26" t="s">
        <v>34</v>
      </c>
      <c r="I26" t="s">
        <v>13</v>
      </c>
      <c r="J26" t="s">
        <v>25</v>
      </c>
      <c r="K26">
        <v>171.46</v>
      </c>
      <c r="L26" t="s">
        <v>16</v>
      </c>
      <c r="M26" t="s">
        <v>16</v>
      </c>
      <c r="N26" t="s">
        <v>923</v>
      </c>
      <c r="O26">
        <f>_xlfn.XLOOKUP(customer_satisfaction_cleaned[[#This Row],[Product Category]],Table2[Product Category],Table2[Delivery SLA (Days)],"NA",0)</f>
        <v>7</v>
      </c>
      <c r="P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 spans="1:16" x14ac:dyDescent="0.2">
      <c r="A27" t="s">
        <v>54</v>
      </c>
      <c r="B27" t="s">
        <v>47</v>
      </c>
      <c r="C27">
        <v>9</v>
      </c>
      <c r="D27">
        <v>10</v>
      </c>
      <c r="E27" t="s">
        <v>21</v>
      </c>
      <c r="F27">
        <v>166.85</v>
      </c>
      <c r="G27">
        <v>53</v>
      </c>
      <c r="H27" t="s">
        <v>24</v>
      </c>
      <c r="I27" t="s">
        <v>21</v>
      </c>
      <c r="J27" t="s">
        <v>25</v>
      </c>
      <c r="K27">
        <v>166.85</v>
      </c>
      <c r="L27" t="s">
        <v>16</v>
      </c>
      <c r="M27" t="s">
        <v>16</v>
      </c>
      <c r="N27" t="s">
        <v>923</v>
      </c>
      <c r="O27">
        <f>_xlfn.XLOOKUP(customer_satisfaction_cleaned[[#This Row],[Product Category]],Table2[Product Category],Table2[Delivery SLA (Days)],"NA",0)</f>
        <v>7</v>
      </c>
      <c r="P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8" spans="1:16" x14ac:dyDescent="0.2">
      <c r="A28" t="s">
        <v>55</v>
      </c>
      <c r="B28" t="s">
        <v>23</v>
      </c>
      <c r="C28">
        <v>7</v>
      </c>
      <c r="D28">
        <v>6</v>
      </c>
      <c r="E28" t="s">
        <v>19</v>
      </c>
      <c r="F28">
        <v>164.33</v>
      </c>
      <c r="G28">
        <v>52</v>
      </c>
      <c r="H28" t="s">
        <v>14</v>
      </c>
      <c r="I28" t="s">
        <v>21</v>
      </c>
      <c r="J28" t="s">
        <v>15</v>
      </c>
      <c r="K28">
        <v>164.33</v>
      </c>
      <c r="L28" t="s">
        <v>16</v>
      </c>
      <c r="M28" t="s">
        <v>16</v>
      </c>
      <c r="N28" t="s">
        <v>923</v>
      </c>
      <c r="O28">
        <f>_xlfn.XLOOKUP(customer_satisfaction_cleaned[[#This Row],[Product Category]],Table2[Product Category],Table2[Delivery SLA (Days)],"NA",0)</f>
        <v>7</v>
      </c>
      <c r="P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 spans="1:16" x14ac:dyDescent="0.2">
      <c r="A29" t="s">
        <v>56</v>
      </c>
      <c r="B29" t="s">
        <v>23</v>
      </c>
      <c r="C29">
        <v>8</v>
      </c>
      <c r="D29">
        <v>6</v>
      </c>
      <c r="E29" t="s">
        <v>13</v>
      </c>
      <c r="F29">
        <v>66.23</v>
      </c>
      <c r="G29">
        <v>52</v>
      </c>
      <c r="H29" t="s">
        <v>20</v>
      </c>
      <c r="I29" t="s">
        <v>13</v>
      </c>
      <c r="J29" t="s">
        <v>20</v>
      </c>
      <c r="K29">
        <v>66.23</v>
      </c>
      <c r="L29" t="s">
        <v>16</v>
      </c>
      <c r="M29" t="s">
        <v>16</v>
      </c>
      <c r="N29" t="s">
        <v>923</v>
      </c>
      <c r="O29">
        <f>_xlfn.XLOOKUP(customer_satisfaction_cleaned[[#This Row],[Product Category]],Table2[Product Category],Table2[Delivery SLA (Days)],"NA",0)</f>
        <v>7</v>
      </c>
      <c r="P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 spans="1:16" x14ac:dyDescent="0.2">
      <c r="A30" t="s">
        <v>57</v>
      </c>
      <c r="B30" t="s">
        <v>47</v>
      </c>
      <c r="C30">
        <v>3</v>
      </c>
      <c r="D30">
        <v>6</v>
      </c>
      <c r="E30" t="s">
        <v>29</v>
      </c>
      <c r="F30">
        <v>111.02</v>
      </c>
      <c r="G30">
        <v>30</v>
      </c>
      <c r="H30" t="s">
        <v>15</v>
      </c>
      <c r="I30" t="s">
        <v>25</v>
      </c>
      <c r="J30" t="s">
        <v>15</v>
      </c>
      <c r="K30">
        <v>111.02</v>
      </c>
      <c r="L30" t="s">
        <v>16</v>
      </c>
      <c r="M30" t="s">
        <v>16</v>
      </c>
      <c r="N30" t="s">
        <v>923</v>
      </c>
      <c r="O30">
        <f>_xlfn.XLOOKUP(customer_satisfaction_cleaned[[#This Row],[Product Category]],Table2[Product Category],Table2[Delivery SLA (Days)],"NA",0)</f>
        <v>7</v>
      </c>
      <c r="P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 spans="1:16" x14ac:dyDescent="0.2">
      <c r="A31" t="s">
        <v>58</v>
      </c>
      <c r="B31" t="s">
        <v>47</v>
      </c>
      <c r="D31">
        <v>5</v>
      </c>
      <c r="E31" t="s">
        <v>21</v>
      </c>
      <c r="F31">
        <v>99.99</v>
      </c>
      <c r="G31">
        <v>39</v>
      </c>
      <c r="H31" t="s">
        <v>44</v>
      </c>
      <c r="I31" t="s">
        <v>21</v>
      </c>
      <c r="J31" t="s">
        <v>20</v>
      </c>
      <c r="K31">
        <v>99.99</v>
      </c>
      <c r="L31" t="s">
        <v>936</v>
      </c>
      <c r="M31" t="s">
        <v>16</v>
      </c>
      <c r="N31" t="s">
        <v>923</v>
      </c>
      <c r="O31">
        <f>_xlfn.XLOOKUP(customer_satisfaction_cleaned[[#This Row],[Product Category]],Table2[Product Category],Table2[Delivery SLA (Days)],"NA",0)</f>
        <v>7</v>
      </c>
      <c r="P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 spans="1:16" x14ac:dyDescent="0.2">
      <c r="A32" t="s">
        <v>59</v>
      </c>
      <c r="B32" t="s">
        <v>18</v>
      </c>
      <c r="C32">
        <v>8</v>
      </c>
      <c r="D32">
        <v>6</v>
      </c>
      <c r="E32" t="s">
        <v>29</v>
      </c>
      <c r="F32">
        <v>231.68</v>
      </c>
      <c r="G32">
        <v>24</v>
      </c>
      <c r="H32" t="s">
        <v>44</v>
      </c>
      <c r="I32" t="s">
        <v>25</v>
      </c>
      <c r="J32" t="s">
        <v>20</v>
      </c>
      <c r="K32">
        <v>231.68</v>
      </c>
      <c r="L32" t="s">
        <v>16</v>
      </c>
      <c r="M32" t="s">
        <v>16</v>
      </c>
      <c r="N32" t="s">
        <v>924</v>
      </c>
      <c r="O32">
        <f>_xlfn.XLOOKUP(customer_satisfaction_cleaned[[#This Row],[Product Category]],Table2[Product Category],Table2[Delivery SLA (Days)],"NA",0)</f>
        <v>10</v>
      </c>
      <c r="P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 spans="1:16" x14ac:dyDescent="0.2">
      <c r="A33" t="s">
        <v>60</v>
      </c>
      <c r="B33" t="s">
        <v>12</v>
      </c>
      <c r="C33">
        <v>4</v>
      </c>
      <c r="D33">
        <v>9</v>
      </c>
      <c r="E33" t="s">
        <v>32</v>
      </c>
      <c r="F33">
        <v>114.81</v>
      </c>
      <c r="G33">
        <v>19</v>
      </c>
      <c r="H33" t="s">
        <v>29</v>
      </c>
      <c r="I33" t="s">
        <v>13</v>
      </c>
      <c r="J33" t="s">
        <v>25</v>
      </c>
      <c r="K33">
        <v>114.81</v>
      </c>
      <c r="L33" t="s">
        <v>16</v>
      </c>
      <c r="M33" t="s">
        <v>16</v>
      </c>
      <c r="N33" t="s">
        <v>924</v>
      </c>
      <c r="O33">
        <f>_xlfn.XLOOKUP(customer_satisfaction_cleaned[[#This Row],[Product Category]],Table2[Product Category],Table2[Delivery SLA (Days)],"NA",0)</f>
        <v>5</v>
      </c>
      <c r="P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4" spans="1:16" x14ac:dyDescent="0.2">
      <c r="A34" t="s">
        <v>61</v>
      </c>
      <c r="B34" t="s">
        <v>23</v>
      </c>
      <c r="C34">
        <v>7</v>
      </c>
      <c r="D34">
        <v>2</v>
      </c>
      <c r="E34" t="s">
        <v>13</v>
      </c>
      <c r="F34">
        <v>120.17</v>
      </c>
      <c r="G34">
        <v>21</v>
      </c>
      <c r="H34" t="s">
        <v>14</v>
      </c>
      <c r="I34" t="s">
        <v>13</v>
      </c>
      <c r="J34" t="s">
        <v>15</v>
      </c>
      <c r="K34">
        <v>120.17</v>
      </c>
      <c r="L34" t="s">
        <v>16</v>
      </c>
      <c r="M34" t="s">
        <v>16</v>
      </c>
      <c r="N34" t="s">
        <v>924</v>
      </c>
      <c r="O34">
        <f>_xlfn.XLOOKUP(customer_satisfaction_cleaned[[#This Row],[Product Category]],Table2[Product Category],Table2[Delivery SLA (Days)],"NA",0)</f>
        <v>7</v>
      </c>
      <c r="P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 spans="1:16" x14ac:dyDescent="0.2">
      <c r="A35" t="s">
        <v>62</v>
      </c>
      <c r="B35" t="s">
        <v>47</v>
      </c>
      <c r="C35">
        <v>5</v>
      </c>
      <c r="E35" t="s">
        <v>29</v>
      </c>
      <c r="F35">
        <v>140.99</v>
      </c>
      <c r="G35">
        <v>16</v>
      </c>
      <c r="H35" t="s">
        <v>15</v>
      </c>
      <c r="I35" t="s">
        <v>25</v>
      </c>
      <c r="J35" t="s">
        <v>15</v>
      </c>
      <c r="K35">
        <v>140.99</v>
      </c>
      <c r="L35" t="s">
        <v>16</v>
      </c>
      <c r="M35" t="s">
        <v>937</v>
      </c>
      <c r="N35" t="s">
        <v>924</v>
      </c>
      <c r="O35">
        <f>_xlfn.XLOOKUP(customer_satisfaction_cleaned[[#This Row],[Product Category]],Table2[Product Category],Table2[Delivery SLA (Days)],"NA",0)</f>
        <v>7</v>
      </c>
      <c r="P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6" spans="1:16" x14ac:dyDescent="0.2">
      <c r="A36" t="s">
        <v>63</v>
      </c>
      <c r="B36" t="s">
        <v>18</v>
      </c>
      <c r="C36">
        <v>2</v>
      </c>
      <c r="D36">
        <v>7</v>
      </c>
      <c r="E36" t="s">
        <v>19</v>
      </c>
      <c r="F36">
        <v>127.71</v>
      </c>
      <c r="G36">
        <v>28</v>
      </c>
      <c r="H36" t="s">
        <v>29</v>
      </c>
      <c r="I36" t="s">
        <v>21</v>
      </c>
      <c r="J36" t="s">
        <v>25</v>
      </c>
      <c r="K36">
        <v>127.71</v>
      </c>
      <c r="L36" t="s">
        <v>16</v>
      </c>
      <c r="M36" t="s">
        <v>16</v>
      </c>
      <c r="N36" t="s">
        <v>924</v>
      </c>
      <c r="O36">
        <f>_xlfn.XLOOKUP(customer_satisfaction_cleaned[[#This Row],[Product Category]],Table2[Product Category],Table2[Delivery SLA (Days)],"NA",0)</f>
        <v>10</v>
      </c>
      <c r="P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 spans="1:16" x14ac:dyDescent="0.2">
      <c r="A37" t="s">
        <v>64</v>
      </c>
      <c r="B37" t="s">
        <v>47</v>
      </c>
      <c r="C37">
        <v>7</v>
      </c>
      <c r="D37">
        <v>6</v>
      </c>
      <c r="E37" t="s">
        <v>21</v>
      </c>
      <c r="F37">
        <v>53.97</v>
      </c>
      <c r="G37">
        <v>53</v>
      </c>
      <c r="H37" t="s">
        <v>20</v>
      </c>
      <c r="I37" t="s">
        <v>21</v>
      </c>
      <c r="J37" t="s">
        <v>20</v>
      </c>
      <c r="K37">
        <v>53.97</v>
      </c>
      <c r="L37" t="s">
        <v>16</v>
      </c>
      <c r="M37" t="s">
        <v>16</v>
      </c>
      <c r="N37" t="s">
        <v>923</v>
      </c>
      <c r="O37">
        <f>_xlfn.XLOOKUP(customer_satisfaction_cleaned[[#This Row],[Product Category]],Table2[Product Category],Table2[Delivery SLA (Days)],"NA",0)</f>
        <v>7</v>
      </c>
      <c r="P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 spans="1:16" x14ac:dyDescent="0.2">
      <c r="A38" t="s">
        <v>65</v>
      </c>
      <c r="B38" t="s">
        <v>23</v>
      </c>
      <c r="C38">
        <v>7</v>
      </c>
      <c r="D38">
        <v>5</v>
      </c>
      <c r="E38" t="s">
        <v>21</v>
      </c>
      <c r="F38">
        <v>188.51</v>
      </c>
      <c r="G38">
        <v>35</v>
      </c>
      <c r="H38" t="s">
        <v>20</v>
      </c>
      <c r="I38" t="s">
        <v>21</v>
      </c>
      <c r="J38" t="s">
        <v>20</v>
      </c>
      <c r="K38">
        <v>188.51</v>
      </c>
      <c r="L38" t="s">
        <v>16</v>
      </c>
      <c r="M38" t="s">
        <v>16</v>
      </c>
      <c r="N38" t="s">
        <v>923</v>
      </c>
      <c r="O38">
        <f>_xlfn.XLOOKUP(customer_satisfaction_cleaned[[#This Row],[Product Category]],Table2[Product Category],Table2[Delivery SLA (Days)],"NA",0)</f>
        <v>7</v>
      </c>
      <c r="P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 spans="1:16" x14ac:dyDescent="0.2">
      <c r="A39" t="s">
        <v>66</v>
      </c>
      <c r="B39" t="s">
        <v>18</v>
      </c>
      <c r="D39">
        <v>4</v>
      </c>
      <c r="E39" t="s">
        <v>13</v>
      </c>
      <c r="F39">
        <v>139</v>
      </c>
      <c r="G39">
        <v>50</v>
      </c>
      <c r="H39" t="s">
        <v>44</v>
      </c>
      <c r="I39" t="s">
        <v>13</v>
      </c>
      <c r="J39" t="s">
        <v>20</v>
      </c>
      <c r="K39">
        <v>139</v>
      </c>
      <c r="L39" t="s">
        <v>936</v>
      </c>
      <c r="M39" t="s">
        <v>16</v>
      </c>
      <c r="N39" t="s">
        <v>923</v>
      </c>
      <c r="O39">
        <f>_xlfn.XLOOKUP(customer_satisfaction_cleaned[[#This Row],[Product Category]],Table2[Product Category],Table2[Delivery SLA (Days)],"NA",0)</f>
        <v>10</v>
      </c>
      <c r="P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 spans="1:16" x14ac:dyDescent="0.2">
      <c r="A40" t="s">
        <v>67</v>
      </c>
      <c r="B40" t="s">
        <v>18</v>
      </c>
      <c r="C40">
        <v>10</v>
      </c>
      <c r="D40">
        <v>6</v>
      </c>
      <c r="E40" t="s">
        <v>29</v>
      </c>
      <c r="F40">
        <v>157.56</v>
      </c>
      <c r="G40">
        <v>45</v>
      </c>
      <c r="H40" t="s">
        <v>24</v>
      </c>
      <c r="I40" t="s">
        <v>25</v>
      </c>
      <c r="J40" t="s">
        <v>25</v>
      </c>
      <c r="K40">
        <v>157.56</v>
      </c>
      <c r="L40" t="s">
        <v>16</v>
      </c>
      <c r="M40" t="s">
        <v>16</v>
      </c>
      <c r="N40" t="s">
        <v>923</v>
      </c>
      <c r="O40">
        <f>_xlfn.XLOOKUP(customer_satisfaction_cleaned[[#This Row],[Product Category]],Table2[Product Category],Table2[Delivery SLA (Days)],"NA",0)</f>
        <v>10</v>
      </c>
      <c r="P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 spans="1:16" x14ac:dyDescent="0.2">
      <c r="A41" t="s">
        <v>68</v>
      </c>
      <c r="B41" t="s">
        <v>12</v>
      </c>
      <c r="C41">
        <v>9</v>
      </c>
      <c r="D41">
        <v>1</v>
      </c>
      <c r="E41" t="s">
        <v>21</v>
      </c>
      <c r="F41">
        <v>30.73</v>
      </c>
      <c r="G41">
        <v>42</v>
      </c>
      <c r="H41" t="s">
        <v>29</v>
      </c>
      <c r="I41" t="s">
        <v>21</v>
      </c>
      <c r="J41" t="s">
        <v>25</v>
      </c>
      <c r="K41">
        <v>30.73</v>
      </c>
      <c r="L41" t="s">
        <v>16</v>
      </c>
      <c r="M41" t="s">
        <v>16</v>
      </c>
      <c r="N41" t="s">
        <v>923</v>
      </c>
      <c r="O41">
        <f>_xlfn.XLOOKUP(customer_satisfaction_cleaned[[#This Row],[Product Category]],Table2[Product Category],Table2[Delivery SLA (Days)],"NA",0)</f>
        <v>5</v>
      </c>
      <c r="P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 spans="1:16" x14ac:dyDescent="0.2">
      <c r="A42" t="s">
        <v>69</v>
      </c>
      <c r="B42" t="s">
        <v>47</v>
      </c>
      <c r="C42">
        <v>5</v>
      </c>
      <c r="D42">
        <v>6</v>
      </c>
      <c r="E42" t="s">
        <v>13</v>
      </c>
      <c r="F42">
        <v>191.36</v>
      </c>
      <c r="H42" t="s">
        <v>14</v>
      </c>
      <c r="I42" t="s">
        <v>13</v>
      </c>
      <c r="J42" t="s">
        <v>15</v>
      </c>
      <c r="K42">
        <v>191.36</v>
      </c>
      <c r="L42" t="s">
        <v>16</v>
      </c>
      <c r="M42" t="s">
        <v>16</v>
      </c>
      <c r="N42" t="s">
        <v>922</v>
      </c>
      <c r="O42">
        <f>_xlfn.XLOOKUP(customer_satisfaction_cleaned[[#This Row],[Product Category]],Table2[Product Category],Table2[Delivery SLA (Days)],"NA",0)</f>
        <v>7</v>
      </c>
      <c r="P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 spans="1:16" x14ac:dyDescent="0.2">
      <c r="A43" t="s">
        <v>70</v>
      </c>
      <c r="B43" t="s">
        <v>12</v>
      </c>
      <c r="C43">
        <v>6</v>
      </c>
      <c r="D43">
        <v>3</v>
      </c>
      <c r="E43" t="s">
        <v>21</v>
      </c>
      <c r="F43">
        <v>197.86</v>
      </c>
      <c r="G43">
        <v>11</v>
      </c>
      <c r="H43" t="s">
        <v>14</v>
      </c>
      <c r="I43" t="s">
        <v>21</v>
      </c>
      <c r="J43" t="s">
        <v>15</v>
      </c>
      <c r="K43">
        <v>197.86</v>
      </c>
      <c r="L43" t="s">
        <v>16</v>
      </c>
      <c r="M43" t="s">
        <v>16</v>
      </c>
      <c r="N43" t="s">
        <v>926</v>
      </c>
      <c r="O43">
        <f>_xlfn.XLOOKUP(customer_satisfaction_cleaned[[#This Row],[Product Category]],Table2[Product Category],Table2[Delivery SLA (Days)],"NA",0)</f>
        <v>5</v>
      </c>
      <c r="P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 spans="1:16" x14ac:dyDescent="0.2">
      <c r="A44" t="s">
        <v>71</v>
      </c>
      <c r="B44" t="s">
        <v>36</v>
      </c>
      <c r="C44">
        <v>8</v>
      </c>
      <c r="D44">
        <v>5</v>
      </c>
      <c r="E44" t="s">
        <v>13</v>
      </c>
      <c r="F44">
        <v>173.48</v>
      </c>
      <c r="G44">
        <v>10</v>
      </c>
      <c r="H44" t="s">
        <v>29</v>
      </c>
      <c r="I44" t="s">
        <v>13</v>
      </c>
      <c r="J44" t="s">
        <v>25</v>
      </c>
      <c r="K44">
        <v>173.48</v>
      </c>
      <c r="L44" t="s">
        <v>16</v>
      </c>
      <c r="M44" t="s">
        <v>16</v>
      </c>
      <c r="N44" t="s">
        <v>926</v>
      </c>
      <c r="O44" t="str">
        <f>_xlfn.XLOOKUP(customer_satisfaction_cleaned[[#This Row],[Product Category]],Table2[Product Category],Table2[Delivery SLA (Days)],"NA",0)</f>
        <v>NA</v>
      </c>
      <c r="P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5" spans="1:16" x14ac:dyDescent="0.2">
      <c r="A45" t="s">
        <v>72</v>
      </c>
      <c r="B45" t="s">
        <v>23</v>
      </c>
      <c r="C45">
        <v>8</v>
      </c>
      <c r="D45">
        <v>2</v>
      </c>
      <c r="E45" t="s">
        <v>32</v>
      </c>
      <c r="F45">
        <v>65.36</v>
      </c>
      <c r="G45">
        <v>53</v>
      </c>
      <c r="H45" t="s">
        <v>14</v>
      </c>
      <c r="I45" t="s">
        <v>13</v>
      </c>
      <c r="J45" t="s">
        <v>15</v>
      </c>
      <c r="K45">
        <v>65.36</v>
      </c>
      <c r="L45" t="s">
        <v>16</v>
      </c>
      <c r="M45" t="s">
        <v>16</v>
      </c>
      <c r="N45" t="s">
        <v>923</v>
      </c>
      <c r="O45">
        <f>_xlfn.XLOOKUP(customer_satisfaction_cleaned[[#This Row],[Product Category]],Table2[Product Category],Table2[Delivery SLA (Days)],"NA",0)</f>
        <v>7</v>
      </c>
      <c r="P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 spans="1:16" x14ac:dyDescent="0.2">
      <c r="A46" t="s">
        <v>73</v>
      </c>
      <c r="B46" t="s">
        <v>12</v>
      </c>
      <c r="C46">
        <v>3</v>
      </c>
      <c r="D46">
        <v>2</v>
      </c>
      <c r="E46" t="s">
        <v>13</v>
      </c>
      <c r="F46">
        <v>125.51</v>
      </c>
      <c r="G46">
        <v>36</v>
      </c>
      <c r="H46" t="s">
        <v>34</v>
      </c>
      <c r="I46" t="s">
        <v>13</v>
      </c>
      <c r="J46" t="s">
        <v>25</v>
      </c>
      <c r="K46">
        <v>125.51</v>
      </c>
      <c r="L46" t="s">
        <v>16</v>
      </c>
      <c r="M46" t="s">
        <v>16</v>
      </c>
      <c r="N46" t="s">
        <v>923</v>
      </c>
      <c r="O46">
        <f>_xlfn.XLOOKUP(customer_satisfaction_cleaned[[#This Row],[Product Category]],Table2[Product Category],Table2[Delivery SLA (Days)],"NA",0)</f>
        <v>5</v>
      </c>
      <c r="P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 spans="1:16" x14ac:dyDescent="0.2">
      <c r="A47" t="s">
        <v>74</v>
      </c>
      <c r="B47" t="s">
        <v>23</v>
      </c>
      <c r="C47">
        <v>5</v>
      </c>
      <c r="D47">
        <v>9</v>
      </c>
      <c r="E47" t="s">
        <v>34</v>
      </c>
      <c r="F47">
        <v>87.2</v>
      </c>
      <c r="G47">
        <v>56</v>
      </c>
      <c r="H47" t="s">
        <v>14</v>
      </c>
      <c r="I47" t="s">
        <v>25</v>
      </c>
      <c r="J47" t="s">
        <v>15</v>
      </c>
      <c r="K47">
        <v>87.2</v>
      </c>
      <c r="L47" t="s">
        <v>16</v>
      </c>
      <c r="M47" t="s">
        <v>16</v>
      </c>
      <c r="N47" t="s">
        <v>923</v>
      </c>
      <c r="O47">
        <f>_xlfn.XLOOKUP(customer_satisfaction_cleaned[[#This Row],[Product Category]],Table2[Product Category],Table2[Delivery SLA (Days)],"NA",0)</f>
        <v>7</v>
      </c>
      <c r="P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8" spans="1:16" x14ac:dyDescent="0.2">
      <c r="A48" t="s">
        <v>75</v>
      </c>
      <c r="B48" t="s">
        <v>36</v>
      </c>
      <c r="D48">
        <v>7</v>
      </c>
      <c r="E48" t="s">
        <v>32</v>
      </c>
      <c r="F48">
        <v>84.98</v>
      </c>
      <c r="G48">
        <v>3</v>
      </c>
      <c r="H48" t="s">
        <v>42</v>
      </c>
      <c r="I48" t="s">
        <v>13</v>
      </c>
      <c r="J48" t="s">
        <v>25</v>
      </c>
      <c r="K48">
        <v>84.98</v>
      </c>
      <c r="L48" t="s">
        <v>936</v>
      </c>
      <c r="M48" t="s">
        <v>16</v>
      </c>
      <c r="N48" t="s">
        <v>926</v>
      </c>
      <c r="O48" t="str">
        <f>_xlfn.XLOOKUP(customer_satisfaction_cleaned[[#This Row],[Product Category]],Table2[Product Category],Table2[Delivery SLA (Days)],"NA",0)</f>
        <v>NA</v>
      </c>
      <c r="P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9" spans="1:16" x14ac:dyDescent="0.2">
      <c r="A49" t="s">
        <v>76</v>
      </c>
      <c r="B49" t="s">
        <v>12</v>
      </c>
      <c r="C49">
        <v>3</v>
      </c>
      <c r="D49">
        <v>7</v>
      </c>
      <c r="E49" t="s">
        <v>29</v>
      </c>
      <c r="F49">
        <v>122.53</v>
      </c>
      <c r="G49">
        <v>64</v>
      </c>
      <c r="H49" t="s">
        <v>42</v>
      </c>
      <c r="I49" t="s">
        <v>25</v>
      </c>
      <c r="J49" t="s">
        <v>25</v>
      </c>
      <c r="K49">
        <v>122.53</v>
      </c>
      <c r="L49" t="s">
        <v>16</v>
      </c>
      <c r="M49" t="s">
        <v>16</v>
      </c>
      <c r="N49" t="s">
        <v>925</v>
      </c>
      <c r="O49">
        <f>_xlfn.XLOOKUP(customer_satisfaction_cleaned[[#This Row],[Product Category]],Table2[Product Category],Table2[Delivery SLA (Days)],"NA",0)</f>
        <v>5</v>
      </c>
      <c r="P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0" spans="1:16" x14ac:dyDescent="0.2">
      <c r="A50" t="s">
        <v>77</v>
      </c>
      <c r="B50" t="s">
        <v>23</v>
      </c>
      <c r="C50">
        <v>6</v>
      </c>
      <c r="D50">
        <v>9</v>
      </c>
      <c r="E50" t="s">
        <v>29</v>
      </c>
      <c r="F50">
        <v>104.26</v>
      </c>
      <c r="G50">
        <v>21</v>
      </c>
      <c r="H50" t="s">
        <v>15</v>
      </c>
      <c r="I50" t="s">
        <v>25</v>
      </c>
      <c r="J50" t="s">
        <v>15</v>
      </c>
      <c r="K50">
        <v>104.26</v>
      </c>
      <c r="L50" t="s">
        <v>16</v>
      </c>
      <c r="M50" t="s">
        <v>16</v>
      </c>
      <c r="N50" t="s">
        <v>924</v>
      </c>
      <c r="O50">
        <f>_xlfn.XLOOKUP(customer_satisfaction_cleaned[[#This Row],[Product Category]],Table2[Product Category],Table2[Delivery SLA (Days)],"NA",0)</f>
        <v>7</v>
      </c>
      <c r="P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1" spans="1:16" x14ac:dyDescent="0.2">
      <c r="A51" t="s">
        <v>78</v>
      </c>
      <c r="B51" t="s">
        <v>12</v>
      </c>
      <c r="C51">
        <v>7</v>
      </c>
      <c r="D51">
        <v>8</v>
      </c>
      <c r="E51" t="s">
        <v>13</v>
      </c>
      <c r="F51">
        <v>53.59</v>
      </c>
      <c r="H51" t="s">
        <v>44</v>
      </c>
      <c r="I51" t="s">
        <v>13</v>
      </c>
      <c r="J51" t="s">
        <v>20</v>
      </c>
      <c r="K51">
        <v>53.59</v>
      </c>
      <c r="L51" t="s">
        <v>16</v>
      </c>
      <c r="M51" t="s">
        <v>16</v>
      </c>
      <c r="N51" t="s">
        <v>922</v>
      </c>
      <c r="O51">
        <f>_xlfn.XLOOKUP(customer_satisfaction_cleaned[[#This Row],[Product Category]],Table2[Product Category],Table2[Delivery SLA (Days)],"NA",0)</f>
        <v>5</v>
      </c>
      <c r="P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2" spans="1:16" x14ac:dyDescent="0.2">
      <c r="A52" t="s">
        <v>79</v>
      </c>
      <c r="B52" t="s">
        <v>12</v>
      </c>
      <c r="C52">
        <v>6</v>
      </c>
      <c r="D52">
        <v>8</v>
      </c>
      <c r="E52" t="s">
        <v>13</v>
      </c>
      <c r="F52">
        <v>149.56</v>
      </c>
      <c r="G52">
        <v>19</v>
      </c>
      <c r="H52" t="s">
        <v>14</v>
      </c>
      <c r="I52" t="s">
        <v>13</v>
      </c>
      <c r="J52" t="s">
        <v>15</v>
      </c>
      <c r="K52">
        <v>149.56</v>
      </c>
      <c r="L52" t="s">
        <v>16</v>
      </c>
      <c r="M52" t="s">
        <v>16</v>
      </c>
      <c r="N52" t="s">
        <v>924</v>
      </c>
      <c r="O52">
        <f>_xlfn.XLOOKUP(customer_satisfaction_cleaned[[#This Row],[Product Category]],Table2[Product Category],Table2[Delivery SLA (Days)],"NA",0)</f>
        <v>5</v>
      </c>
      <c r="P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3" spans="1:16" x14ac:dyDescent="0.2">
      <c r="A53" t="s">
        <v>80</v>
      </c>
      <c r="B53" t="s">
        <v>12</v>
      </c>
      <c r="C53">
        <v>6</v>
      </c>
      <c r="D53">
        <v>5</v>
      </c>
      <c r="E53" t="s">
        <v>13</v>
      </c>
      <c r="F53">
        <v>16852</v>
      </c>
      <c r="G53">
        <v>40</v>
      </c>
      <c r="H53" t="s">
        <v>14</v>
      </c>
      <c r="I53" t="s">
        <v>13</v>
      </c>
      <c r="J53" t="s">
        <v>15</v>
      </c>
      <c r="K53">
        <v>16852</v>
      </c>
      <c r="L53" t="s">
        <v>16</v>
      </c>
      <c r="M53" t="s">
        <v>16</v>
      </c>
      <c r="N53" t="s">
        <v>923</v>
      </c>
      <c r="O53">
        <f>_xlfn.XLOOKUP(customer_satisfaction_cleaned[[#This Row],[Product Category]],Table2[Product Category],Table2[Delivery SLA (Days)],"NA",0)</f>
        <v>5</v>
      </c>
      <c r="P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 spans="1:16" x14ac:dyDescent="0.2">
      <c r="A54" t="s">
        <v>81</v>
      </c>
      <c r="B54" t="s">
        <v>36</v>
      </c>
      <c r="C54">
        <v>8</v>
      </c>
      <c r="D54">
        <v>2</v>
      </c>
      <c r="E54" t="s">
        <v>34</v>
      </c>
      <c r="F54">
        <v>143.09</v>
      </c>
      <c r="G54">
        <v>40</v>
      </c>
      <c r="H54" t="s">
        <v>15</v>
      </c>
      <c r="I54" t="s">
        <v>25</v>
      </c>
      <c r="J54" t="s">
        <v>15</v>
      </c>
      <c r="K54">
        <v>143.09</v>
      </c>
      <c r="L54" t="s">
        <v>16</v>
      </c>
      <c r="M54" t="s">
        <v>16</v>
      </c>
      <c r="N54" t="s">
        <v>923</v>
      </c>
      <c r="O54" t="str">
        <f>_xlfn.XLOOKUP(customer_satisfaction_cleaned[[#This Row],[Product Category]],Table2[Product Category],Table2[Delivery SLA (Days)],"NA",0)</f>
        <v>NA</v>
      </c>
      <c r="P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5" spans="1:16" x14ac:dyDescent="0.2">
      <c r="A55" t="s">
        <v>82</v>
      </c>
      <c r="B55" t="s">
        <v>23</v>
      </c>
      <c r="C55">
        <v>4</v>
      </c>
      <c r="D55">
        <v>5</v>
      </c>
      <c r="E55" t="s">
        <v>32</v>
      </c>
      <c r="F55">
        <v>184.42</v>
      </c>
      <c r="G55">
        <v>36</v>
      </c>
      <c r="H55" t="s">
        <v>44</v>
      </c>
      <c r="I55" t="s">
        <v>13</v>
      </c>
      <c r="J55" t="s">
        <v>20</v>
      </c>
      <c r="K55">
        <v>184.42</v>
      </c>
      <c r="L55" t="s">
        <v>16</v>
      </c>
      <c r="M55" t="s">
        <v>16</v>
      </c>
      <c r="N55" t="s">
        <v>923</v>
      </c>
      <c r="O55">
        <f>_xlfn.XLOOKUP(customer_satisfaction_cleaned[[#This Row],[Product Category]],Table2[Product Category],Table2[Delivery SLA (Days)],"NA",0)</f>
        <v>7</v>
      </c>
      <c r="P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 spans="1:16" x14ac:dyDescent="0.2">
      <c r="A56" t="s">
        <v>83</v>
      </c>
      <c r="B56" t="s">
        <v>23</v>
      </c>
      <c r="C56">
        <v>4</v>
      </c>
      <c r="D56">
        <v>6</v>
      </c>
      <c r="E56" t="s">
        <v>21</v>
      </c>
      <c r="F56">
        <v>137.69999999999999</v>
      </c>
      <c r="G56">
        <v>33</v>
      </c>
      <c r="H56" t="s">
        <v>14</v>
      </c>
      <c r="I56" t="s">
        <v>21</v>
      </c>
      <c r="J56" t="s">
        <v>15</v>
      </c>
      <c r="K56">
        <v>137.69999999999999</v>
      </c>
      <c r="L56" t="s">
        <v>16</v>
      </c>
      <c r="M56" t="s">
        <v>16</v>
      </c>
      <c r="N56" t="s">
        <v>923</v>
      </c>
      <c r="O56">
        <f>_xlfn.XLOOKUP(customer_satisfaction_cleaned[[#This Row],[Product Category]],Table2[Product Category],Table2[Delivery SLA (Days)],"NA",0)</f>
        <v>7</v>
      </c>
      <c r="P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 spans="1:16" x14ac:dyDescent="0.2">
      <c r="A57" t="s">
        <v>84</v>
      </c>
      <c r="B57" t="s">
        <v>12</v>
      </c>
      <c r="C57">
        <v>3</v>
      </c>
      <c r="D57">
        <v>6</v>
      </c>
      <c r="E57" t="s">
        <v>29</v>
      </c>
      <c r="F57">
        <v>93.29</v>
      </c>
      <c r="G57">
        <v>41</v>
      </c>
      <c r="H57" t="s">
        <v>15</v>
      </c>
      <c r="I57" t="s">
        <v>25</v>
      </c>
      <c r="J57" t="s">
        <v>15</v>
      </c>
      <c r="K57">
        <v>93.29</v>
      </c>
      <c r="L57" t="s">
        <v>16</v>
      </c>
      <c r="M57" t="s">
        <v>16</v>
      </c>
      <c r="N57" t="s">
        <v>923</v>
      </c>
      <c r="O57">
        <f>_xlfn.XLOOKUP(customer_satisfaction_cleaned[[#This Row],[Product Category]],Table2[Product Category],Table2[Delivery SLA (Days)],"NA",0)</f>
        <v>5</v>
      </c>
      <c r="P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8" spans="1:16" x14ac:dyDescent="0.2">
      <c r="A58" t="s">
        <v>85</v>
      </c>
      <c r="B58" t="s">
        <v>18</v>
      </c>
      <c r="C58">
        <v>9</v>
      </c>
      <c r="E58" t="s">
        <v>21</v>
      </c>
      <c r="F58">
        <v>75.36</v>
      </c>
      <c r="G58">
        <v>51</v>
      </c>
      <c r="H58" t="s">
        <v>15</v>
      </c>
      <c r="I58" t="s">
        <v>21</v>
      </c>
      <c r="J58" t="s">
        <v>15</v>
      </c>
      <c r="K58">
        <v>75.36</v>
      </c>
      <c r="L58" t="s">
        <v>16</v>
      </c>
      <c r="M58" t="s">
        <v>937</v>
      </c>
      <c r="N58" t="s">
        <v>923</v>
      </c>
      <c r="O58">
        <f>_xlfn.XLOOKUP(customer_satisfaction_cleaned[[#This Row],[Product Category]],Table2[Product Category],Table2[Delivery SLA (Days)],"NA",0)</f>
        <v>10</v>
      </c>
      <c r="P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9" spans="1:16" x14ac:dyDescent="0.2">
      <c r="A59" t="s">
        <v>86</v>
      </c>
      <c r="B59" t="s">
        <v>23</v>
      </c>
      <c r="C59">
        <v>8</v>
      </c>
      <c r="E59" t="s">
        <v>29</v>
      </c>
      <c r="F59">
        <v>190.33</v>
      </c>
      <c r="G59">
        <v>41</v>
      </c>
      <c r="H59" t="s">
        <v>20</v>
      </c>
      <c r="I59" t="s">
        <v>25</v>
      </c>
      <c r="J59" t="s">
        <v>20</v>
      </c>
      <c r="K59">
        <v>190.33</v>
      </c>
      <c r="L59" t="s">
        <v>16</v>
      </c>
      <c r="M59" t="s">
        <v>937</v>
      </c>
      <c r="N59" t="s">
        <v>923</v>
      </c>
      <c r="O59">
        <f>_xlfn.XLOOKUP(customer_satisfaction_cleaned[[#This Row],[Product Category]],Table2[Product Category],Table2[Delivery SLA (Days)],"NA",0)</f>
        <v>7</v>
      </c>
      <c r="P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0" spans="1:16" x14ac:dyDescent="0.2">
      <c r="A60" t="s">
        <v>87</v>
      </c>
      <c r="B60" t="s">
        <v>23</v>
      </c>
      <c r="C60">
        <v>7</v>
      </c>
      <c r="E60" t="s">
        <v>19</v>
      </c>
      <c r="F60">
        <v>120.1</v>
      </c>
      <c r="G60">
        <v>21</v>
      </c>
      <c r="H60" t="s">
        <v>20</v>
      </c>
      <c r="I60" t="s">
        <v>21</v>
      </c>
      <c r="J60" t="s">
        <v>20</v>
      </c>
      <c r="K60">
        <v>120.1</v>
      </c>
      <c r="L60" t="s">
        <v>16</v>
      </c>
      <c r="M60" t="s">
        <v>937</v>
      </c>
      <c r="N60" t="s">
        <v>924</v>
      </c>
      <c r="O60">
        <f>_xlfn.XLOOKUP(customer_satisfaction_cleaned[[#This Row],[Product Category]],Table2[Product Category],Table2[Delivery SLA (Days)],"NA",0)</f>
        <v>7</v>
      </c>
      <c r="P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1" spans="1:16" x14ac:dyDescent="0.2">
      <c r="A61" t="s">
        <v>88</v>
      </c>
      <c r="B61" t="s">
        <v>18</v>
      </c>
      <c r="C61">
        <v>8</v>
      </c>
      <c r="D61">
        <v>5</v>
      </c>
      <c r="E61" t="s">
        <v>21</v>
      </c>
      <c r="F61">
        <v>23.97</v>
      </c>
      <c r="G61">
        <v>35</v>
      </c>
      <c r="H61" t="s">
        <v>15</v>
      </c>
      <c r="I61" t="s">
        <v>21</v>
      </c>
      <c r="J61" t="s">
        <v>15</v>
      </c>
      <c r="K61">
        <v>23.97</v>
      </c>
      <c r="L61" t="s">
        <v>16</v>
      </c>
      <c r="M61" t="s">
        <v>16</v>
      </c>
      <c r="N61" t="s">
        <v>923</v>
      </c>
      <c r="O61">
        <f>_xlfn.XLOOKUP(customer_satisfaction_cleaned[[#This Row],[Product Category]],Table2[Product Category],Table2[Delivery SLA (Days)],"NA",0)</f>
        <v>10</v>
      </c>
      <c r="P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 spans="1:16" x14ac:dyDescent="0.2">
      <c r="A62" t="s">
        <v>89</v>
      </c>
      <c r="B62" t="s">
        <v>36</v>
      </c>
      <c r="C62">
        <v>10</v>
      </c>
      <c r="D62">
        <v>2</v>
      </c>
      <c r="E62" t="s">
        <v>21</v>
      </c>
      <c r="F62">
        <v>124.37</v>
      </c>
      <c r="G62">
        <v>50</v>
      </c>
      <c r="H62" t="s">
        <v>14</v>
      </c>
      <c r="I62" t="s">
        <v>21</v>
      </c>
      <c r="J62" t="s">
        <v>15</v>
      </c>
      <c r="K62">
        <v>124.37</v>
      </c>
      <c r="L62" t="s">
        <v>16</v>
      </c>
      <c r="M62" t="s">
        <v>16</v>
      </c>
      <c r="N62" t="s">
        <v>923</v>
      </c>
      <c r="O62" t="str">
        <f>_xlfn.XLOOKUP(customer_satisfaction_cleaned[[#This Row],[Product Category]],Table2[Product Category],Table2[Delivery SLA (Days)],"NA",0)</f>
        <v>NA</v>
      </c>
      <c r="P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3" spans="1:16" x14ac:dyDescent="0.2">
      <c r="A63" t="s">
        <v>90</v>
      </c>
      <c r="B63" t="s">
        <v>18</v>
      </c>
      <c r="C63">
        <v>7</v>
      </c>
      <c r="D63">
        <v>4</v>
      </c>
      <c r="E63" t="s">
        <v>34</v>
      </c>
      <c r="F63">
        <v>102.82</v>
      </c>
      <c r="G63">
        <v>45</v>
      </c>
      <c r="H63" t="s">
        <v>14</v>
      </c>
      <c r="I63" t="s">
        <v>25</v>
      </c>
      <c r="J63" t="s">
        <v>15</v>
      </c>
      <c r="K63">
        <v>102.82</v>
      </c>
      <c r="L63" t="s">
        <v>16</v>
      </c>
      <c r="M63" t="s">
        <v>16</v>
      </c>
      <c r="N63" t="s">
        <v>923</v>
      </c>
      <c r="O63">
        <f>_xlfn.XLOOKUP(customer_satisfaction_cleaned[[#This Row],[Product Category]],Table2[Product Category],Table2[Delivery SLA (Days)],"NA",0)</f>
        <v>10</v>
      </c>
      <c r="P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 spans="1:16" x14ac:dyDescent="0.2">
      <c r="A64" t="s">
        <v>91</v>
      </c>
      <c r="B64" t="s">
        <v>47</v>
      </c>
      <c r="C64">
        <v>9</v>
      </c>
      <c r="D64">
        <v>4</v>
      </c>
      <c r="E64" t="s">
        <v>32</v>
      </c>
      <c r="F64">
        <v>157.53</v>
      </c>
      <c r="G64">
        <v>30</v>
      </c>
      <c r="H64" t="s">
        <v>34</v>
      </c>
      <c r="I64" t="s">
        <v>13</v>
      </c>
      <c r="J64" t="s">
        <v>25</v>
      </c>
      <c r="K64">
        <v>157.53</v>
      </c>
      <c r="L64" t="s">
        <v>16</v>
      </c>
      <c r="M64" t="s">
        <v>16</v>
      </c>
      <c r="N64" t="s">
        <v>923</v>
      </c>
      <c r="O64">
        <f>_xlfn.XLOOKUP(customer_satisfaction_cleaned[[#This Row],[Product Category]],Table2[Product Category],Table2[Delivery SLA (Days)],"NA",0)</f>
        <v>7</v>
      </c>
      <c r="P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 spans="1:16" x14ac:dyDescent="0.2">
      <c r="A65" t="s">
        <v>92</v>
      </c>
      <c r="B65" t="s">
        <v>23</v>
      </c>
      <c r="C65">
        <v>4</v>
      </c>
      <c r="D65">
        <v>7</v>
      </c>
      <c r="E65" t="s">
        <v>13</v>
      </c>
      <c r="F65">
        <v>121.17</v>
      </c>
      <c r="G65">
        <v>27</v>
      </c>
      <c r="H65" t="s">
        <v>44</v>
      </c>
      <c r="I65" t="s">
        <v>13</v>
      </c>
      <c r="J65" t="s">
        <v>20</v>
      </c>
      <c r="K65">
        <v>121.17</v>
      </c>
      <c r="L65" t="s">
        <v>16</v>
      </c>
      <c r="M65" t="s">
        <v>16</v>
      </c>
      <c r="N65" t="s">
        <v>924</v>
      </c>
      <c r="O65">
        <f>_xlfn.XLOOKUP(customer_satisfaction_cleaned[[#This Row],[Product Category]],Table2[Product Category],Table2[Delivery SLA (Days)],"NA",0)</f>
        <v>7</v>
      </c>
      <c r="P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 spans="1:16" x14ac:dyDescent="0.2">
      <c r="A66" t="s">
        <v>93</v>
      </c>
      <c r="B66" t="s">
        <v>12</v>
      </c>
      <c r="C66">
        <v>6</v>
      </c>
      <c r="D66">
        <v>5</v>
      </c>
      <c r="E66" t="s">
        <v>13</v>
      </c>
      <c r="F66">
        <v>126.55</v>
      </c>
      <c r="G66">
        <v>17</v>
      </c>
      <c r="H66" t="s">
        <v>14</v>
      </c>
      <c r="I66" t="s">
        <v>13</v>
      </c>
      <c r="J66" t="s">
        <v>15</v>
      </c>
      <c r="K66">
        <v>126.55</v>
      </c>
      <c r="L66" t="s">
        <v>16</v>
      </c>
      <c r="M66" t="s">
        <v>16</v>
      </c>
      <c r="N66" t="s">
        <v>924</v>
      </c>
      <c r="O66">
        <f>_xlfn.XLOOKUP(customer_satisfaction_cleaned[[#This Row],[Product Category]],Table2[Product Category],Table2[Delivery SLA (Days)],"NA",0)</f>
        <v>5</v>
      </c>
      <c r="P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 spans="1:16" x14ac:dyDescent="0.2">
      <c r="A67" t="s">
        <v>94</v>
      </c>
      <c r="B67" t="s">
        <v>12</v>
      </c>
      <c r="C67">
        <v>12</v>
      </c>
      <c r="E67" t="s">
        <v>13</v>
      </c>
      <c r="F67">
        <v>11.03</v>
      </c>
      <c r="G67">
        <v>26</v>
      </c>
      <c r="H67" t="s">
        <v>24</v>
      </c>
      <c r="I67" t="s">
        <v>13</v>
      </c>
      <c r="J67" t="s">
        <v>25</v>
      </c>
      <c r="K67">
        <v>11.03</v>
      </c>
      <c r="L67" t="s">
        <v>16</v>
      </c>
      <c r="M67" t="s">
        <v>937</v>
      </c>
      <c r="N67" t="s">
        <v>924</v>
      </c>
      <c r="O67">
        <f>_xlfn.XLOOKUP(customer_satisfaction_cleaned[[#This Row],[Product Category]],Table2[Product Category],Table2[Delivery SLA (Days)],"NA",0)</f>
        <v>5</v>
      </c>
      <c r="P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8" spans="1:16" x14ac:dyDescent="0.2">
      <c r="A68" t="s">
        <v>17</v>
      </c>
      <c r="B68" t="s">
        <v>12</v>
      </c>
      <c r="C68">
        <v>7</v>
      </c>
      <c r="D68">
        <v>6</v>
      </c>
      <c r="E68" t="s">
        <v>21</v>
      </c>
      <c r="F68">
        <v>89.81</v>
      </c>
      <c r="G68">
        <v>38</v>
      </c>
      <c r="H68" t="s">
        <v>42</v>
      </c>
      <c r="I68" t="s">
        <v>21</v>
      </c>
      <c r="J68" t="s">
        <v>25</v>
      </c>
      <c r="K68">
        <v>89.81</v>
      </c>
      <c r="L68" t="s">
        <v>16</v>
      </c>
      <c r="M68" t="s">
        <v>16</v>
      </c>
      <c r="N68" t="s">
        <v>923</v>
      </c>
      <c r="O68">
        <f>_xlfn.XLOOKUP(customer_satisfaction_cleaned[[#This Row],[Product Category]],Table2[Product Category],Table2[Delivery SLA (Days)],"NA",0)</f>
        <v>5</v>
      </c>
      <c r="P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9" spans="1:16" x14ac:dyDescent="0.2">
      <c r="A69" t="s">
        <v>95</v>
      </c>
      <c r="B69" t="s">
        <v>12</v>
      </c>
      <c r="C69">
        <v>9</v>
      </c>
      <c r="D69">
        <v>8</v>
      </c>
      <c r="E69" t="s">
        <v>32</v>
      </c>
      <c r="F69">
        <v>164.51</v>
      </c>
      <c r="G69">
        <v>60</v>
      </c>
      <c r="H69" t="s">
        <v>14</v>
      </c>
      <c r="I69" t="s">
        <v>13</v>
      </c>
      <c r="J69" t="s">
        <v>15</v>
      </c>
      <c r="K69">
        <v>164.51</v>
      </c>
      <c r="L69" t="s">
        <v>16</v>
      </c>
      <c r="M69" t="s">
        <v>16</v>
      </c>
      <c r="N69" t="s">
        <v>925</v>
      </c>
      <c r="O69">
        <f>_xlfn.XLOOKUP(customer_satisfaction_cleaned[[#This Row],[Product Category]],Table2[Product Category],Table2[Delivery SLA (Days)],"NA",0)</f>
        <v>5</v>
      </c>
      <c r="P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0" spans="1:16" x14ac:dyDescent="0.2">
      <c r="A70" t="s">
        <v>96</v>
      </c>
      <c r="B70" t="s">
        <v>47</v>
      </c>
      <c r="C70">
        <v>8</v>
      </c>
      <c r="D70">
        <v>3</v>
      </c>
      <c r="E70" t="s">
        <v>21</v>
      </c>
      <c r="F70">
        <v>46.54</v>
      </c>
      <c r="G70">
        <v>23</v>
      </c>
      <c r="H70" t="s">
        <v>42</v>
      </c>
      <c r="I70" t="s">
        <v>21</v>
      </c>
      <c r="J70" t="s">
        <v>25</v>
      </c>
      <c r="K70">
        <v>46.54</v>
      </c>
      <c r="L70" t="s">
        <v>16</v>
      </c>
      <c r="M70" t="s">
        <v>16</v>
      </c>
      <c r="N70" t="s">
        <v>924</v>
      </c>
      <c r="O70">
        <f>_xlfn.XLOOKUP(customer_satisfaction_cleaned[[#This Row],[Product Category]],Table2[Product Category],Table2[Delivery SLA (Days)],"NA",0)</f>
        <v>7</v>
      </c>
      <c r="P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 spans="1:16" x14ac:dyDescent="0.2">
      <c r="A71" t="s">
        <v>97</v>
      </c>
      <c r="B71" t="s">
        <v>23</v>
      </c>
      <c r="C71">
        <v>3</v>
      </c>
      <c r="D71">
        <v>7</v>
      </c>
      <c r="E71" t="s">
        <v>21</v>
      </c>
      <c r="F71">
        <v>83.07</v>
      </c>
      <c r="G71">
        <v>44</v>
      </c>
      <c r="H71" t="s">
        <v>15</v>
      </c>
      <c r="I71" t="s">
        <v>21</v>
      </c>
      <c r="J71" t="s">
        <v>15</v>
      </c>
      <c r="K71">
        <v>83.07</v>
      </c>
      <c r="L71" t="s">
        <v>16</v>
      </c>
      <c r="M71" t="s">
        <v>16</v>
      </c>
      <c r="N71" t="s">
        <v>923</v>
      </c>
      <c r="O71">
        <f>_xlfn.XLOOKUP(customer_satisfaction_cleaned[[#This Row],[Product Category]],Table2[Product Category],Table2[Delivery SLA (Days)],"NA",0)</f>
        <v>7</v>
      </c>
      <c r="P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 spans="1:16" x14ac:dyDescent="0.2">
      <c r="A72" t="s">
        <v>98</v>
      </c>
      <c r="B72" t="s">
        <v>23</v>
      </c>
      <c r="C72">
        <v>5</v>
      </c>
      <c r="D72">
        <v>9</v>
      </c>
      <c r="E72" t="s">
        <v>19</v>
      </c>
      <c r="F72">
        <v>123.65</v>
      </c>
      <c r="G72">
        <v>48</v>
      </c>
      <c r="H72" t="s">
        <v>44</v>
      </c>
      <c r="I72" t="s">
        <v>21</v>
      </c>
      <c r="J72" t="s">
        <v>20</v>
      </c>
      <c r="K72">
        <v>123.65</v>
      </c>
      <c r="L72" t="s">
        <v>16</v>
      </c>
      <c r="M72" t="s">
        <v>16</v>
      </c>
      <c r="N72" t="s">
        <v>923</v>
      </c>
      <c r="O72">
        <f>_xlfn.XLOOKUP(customer_satisfaction_cleaned[[#This Row],[Product Category]],Table2[Product Category],Table2[Delivery SLA (Days)],"NA",0)</f>
        <v>7</v>
      </c>
      <c r="P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3" spans="1:16" x14ac:dyDescent="0.2">
      <c r="A73" t="s">
        <v>99</v>
      </c>
      <c r="B73" t="s">
        <v>47</v>
      </c>
      <c r="C73">
        <v>7</v>
      </c>
      <c r="D73">
        <v>5</v>
      </c>
      <c r="E73" t="s">
        <v>13</v>
      </c>
      <c r="F73">
        <v>127.99</v>
      </c>
      <c r="G73">
        <v>24</v>
      </c>
      <c r="H73" t="s">
        <v>15</v>
      </c>
      <c r="I73" t="s">
        <v>13</v>
      </c>
      <c r="J73" t="s">
        <v>15</v>
      </c>
      <c r="K73">
        <v>127.99</v>
      </c>
      <c r="L73" t="s">
        <v>16</v>
      </c>
      <c r="M73" t="s">
        <v>16</v>
      </c>
      <c r="N73" t="s">
        <v>924</v>
      </c>
      <c r="O73">
        <f>_xlfn.XLOOKUP(customer_satisfaction_cleaned[[#This Row],[Product Category]],Table2[Product Category],Table2[Delivery SLA (Days)],"NA",0)</f>
        <v>7</v>
      </c>
      <c r="P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 spans="1:16" x14ac:dyDescent="0.2">
      <c r="A74" t="s">
        <v>100</v>
      </c>
      <c r="B74" t="s">
        <v>18</v>
      </c>
      <c r="C74">
        <v>5</v>
      </c>
      <c r="E74" t="s">
        <v>21</v>
      </c>
      <c r="F74">
        <v>44.6</v>
      </c>
      <c r="G74">
        <v>54</v>
      </c>
      <c r="H74" t="s">
        <v>15</v>
      </c>
      <c r="I74" t="s">
        <v>21</v>
      </c>
      <c r="J74" t="s">
        <v>15</v>
      </c>
      <c r="K74">
        <v>44.6</v>
      </c>
      <c r="L74" t="s">
        <v>16</v>
      </c>
      <c r="M74" t="s">
        <v>937</v>
      </c>
      <c r="N74" t="s">
        <v>923</v>
      </c>
      <c r="O74">
        <f>_xlfn.XLOOKUP(customer_satisfaction_cleaned[[#This Row],[Product Category]],Table2[Product Category],Table2[Delivery SLA (Days)],"NA",0)</f>
        <v>10</v>
      </c>
      <c r="P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5" spans="1:16" x14ac:dyDescent="0.2">
      <c r="A75" t="s">
        <v>101</v>
      </c>
      <c r="B75" t="s">
        <v>47</v>
      </c>
      <c r="C75">
        <v>5</v>
      </c>
      <c r="D75">
        <v>2</v>
      </c>
      <c r="E75" t="s">
        <v>13</v>
      </c>
      <c r="F75">
        <v>179.55</v>
      </c>
      <c r="H75" t="s">
        <v>29</v>
      </c>
      <c r="I75" t="s">
        <v>13</v>
      </c>
      <c r="J75" t="s">
        <v>25</v>
      </c>
      <c r="K75">
        <v>179.55</v>
      </c>
      <c r="L75" t="s">
        <v>16</v>
      </c>
      <c r="M75" t="s">
        <v>16</v>
      </c>
      <c r="N75" t="s">
        <v>922</v>
      </c>
      <c r="O75">
        <f>_xlfn.XLOOKUP(customer_satisfaction_cleaned[[#This Row],[Product Category]],Table2[Product Category],Table2[Delivery SLA (Days)],"NA",0)</f>
        <v>7</v>
      </c>
      <c r="P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 spans="1:16" x14ac:dyDescent="0.2">
      <c r="A76" t="s">
        <v>102</v>
      </c>
      <c r="B76" t="s">
        <v>23</v>
      </c>
      <c r="C76">
        <v>4</v>
      </c>
      <c r="E76" t="s">
        <v>13</v>
      </c>
      <c r="F76">
        <v>164.12</v>
      </c>
      <c r="G76">
        <v>32</v>
      </c>
      <c r="H76" t="s">
        <v>15</v>
      </c>
      <c r="I76" t="s">
        <v>13</v>
      </c>
      <c r="J76" t="s">
        <v>15</v>
      </c>
      <c r="K76">
        <v>164.12</v>
      </c>
      <c r="L76" t="s">
        <v>16</v>
      </c>
      <c r="M76" t="s">
        <v>937</v>
      </c>
      <c r="N76" t="s">
        <v>923</v>
      </c>
      <c r="O76">
        <f>_xlfn.XLOOKUP(customer_satisfaction_cleaned[[#This Row],[Product Category]],Table2[Product Category],Table2[Delivery SLA (Days)],"NA",0)</f>
        <v>7</v>
      </c>
      <c r="P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7" spans="1:16" x14ac:dyDescent="0.2">
      <c r="A77" t="s">
        <v>103</v>
      </c>
      <c r="B77" t="s">
        <v>12</v>
      </c>
      <c r="C77">
        <v>8</v>
      </c>
      <c r="D77">
        <v>4</v>
      </c>
      <c r="E77" t="s">
        <v>21</v>
      </c>
      <c r="F77">
        <v>149.49</v>
      </c>
      <c r="G77">
        <v>41</v>
      </c>
      <c r="H77" t="s">
        <v>44</v>
      </c>
      <c r="I77" t="s">
        <v>21</v>
      </c>
      <c r="J77" t="s">
        <v>20</v>
      </c>
      <c r="K77">
        <v>149.49</v>
      </c>
      <c r="L77" t="s">
        <v>16</v>
      </c>
      <c r="M77" t="s">
        <v>16</v>
      </c>
      <c r="N77" t="s">
        <v>923</v>
      </c>
      <c r="O77">
        <f>_xlfn.XLOOKUP(customer_satisfaction_cleaned[[#This Row],[Product Category]],Table2[Product Category],Table2[Delivery SLA (Days)],"NA",0)</f>
        <v>5</v>
      </c>
      <c r="P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 spans="1:16" x14ac:dyDescent="0.2">
      <c r="A78" t="s">
        <v>104</v>
      </c>
      <c r="B78" t="s">
        <v>12</v>
      </c>
      <c r="C78">
        <v>6</v>
      </c>
      <c r="D78">
        <v>6</v>
      </c>
      <c r="E78" t="s">
        <v>21</v>
      </c>
      <c r="F78">
        <v>98.63</v>
      </c>
      <c r="G78">
        <v>71</v>
      </c>
      <c r="H78" t="s">
        <v>29</v>
      </c>
      <c r="I78" t="s">
        <v>21</v>
      </c>
      <c r="J78" t="s">
        <v>25</v>
      </c>
      <c r="K78">
        <v>98.63</v>
      </c>
      <c r="L78" t="s">
        <v>16</v>
      </c>
      <c r="M78" t="s">
        <v>16</v>
      </c>
      <c r="N78" t="s">
        <v>925</v>
      </c>
      <c r="O78">
        <f>_xlfn.XLOOKUP(customer_satisfaction_cleaned[[#This Row],[Product Category]],Table2[Product Category],Table2[Delivery SLA (Days)],"NA",0)</f>
        <v>5</v>
      </c>
      <c r="P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9" spans="1:16" x14ac:dyDescent="0.2">
      <c r="A79" t="s">
        <v>105</v>
      </c>
      <c r="B79" t="s">
        <v>18</v>
      </c>
      <c r="C79">
        <v>8</v>
      </c>
      <c r="D79">
        <v>6</v>
      </c>
      <c r="E79" t="s">
        <v>19</v>
      </c>
      <c r="F79">
        <v>108.17</v>
      </c>
      <c r="G79">
        <v>45</v>
      </c>
      <c r="H79" t="s">
        <v>42</v>
      </c>
      <c r="I79" t="s">
        <v>21</v>
      </c>
      <c r="J79" t="s">
        <v>25</v>
      </c>
      <c r="K79">
        <v>108.17</v>
      </c>
      <c r="L79" t="s">
        <v>16</v>
      </c>
      <c r="M79" t="s">
        <v>16</v>
      </c>
      <c r="N79" t="s">
        <v>923</v>
      </c>
      <c r="O79">
        <f>_xlfn.XLOOKUP(customer_satisfaction_cleaned[[#This Row],[Product Category]],Table2[Product Category],Table2[Delivery SLA (Days)],"NA",0)</f>
        <v>10</v>
      </c>
      <c r="P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 spans="1:16" x14ac:dyDescent="0.2">
      <c r="A80" t="s">
        <v>106</v>
      </c>
      <c r="B80" t="s">
        <v>18</v>
      </c>
      <c r="C80">
        <v>7</v>
      </c>
      <c r="D80">
        <v>3</v>
      </c>
      <c r="E80" t="s">
        <v>21</v>
      </c>
      <c r="F80">
        <v>60.03</v>
      </c>
      <c r="G80">
        <v>53</v>
      </c>
      <c r="H80" t="s">
        <v>42</v>
      </c>
      <c r="I80" t="s">
        <v>21</v>
      </c>
      <c r="J80" t="s">
        <v>25</v>
      </c>
      <c r="K80">
        <v>60.03</v>
      </c>
      <c r="L80" t="s">
        <v>16</v>
      </c>
      <c r="M80" t="s">
        <v>16</v>
      </c>
      <c r="N80" t="s">
        <v>923</v>
      </c>
      <c r="O80">
        <f>_xlfn.XLOOKUP(customer_satisfaction_cleaned[[#This Row],[Product Category]],Table2[Product Category],Table2[Delivery SLA (Days)],"NA",0)</f>
        <v>10</v>
      </c>
      <c r="P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 spans="1:16" x14ac:dyDescent="0.2">
      <c r="A81" t="s">
        <v>107</v>
      </c>
      <c r="B81" t="s">
        <v>18</v>
      </c>
      <c r="C81">
        <v>8</v>
      </c>
      <c r="D81">
        <v>5</v>
      </c>
      <c r="E81" t="s">
        <v>34</v>
      </c>
      <c r="F81">
        <v>55.13</v>
      </c>
      <c r="G81">
        <v>38</v>
      </c>
      <c r="H81" t="s">
        <v>20</v>
      </c>
      <c r="I81" t="s">
        <v>25</v>
      </c>
      <c r="J81" t="s">
        <v>20</v>
      </c>
      <c r="K81">
        <v>55.13</v>
      </c>
      <c r="L81" t="s">
        <v>16</v>
      </c>
      <c r="M81" t="s">
        <v>16</v>
      </c>
      <c r="N81" t="s">
        <v>923</v>
      </c>
      <c r="O81">
        <f>_xlfn.XLOOKUP(customer_satisfaction_cleaned[[#This Row],[Product Category]],Table2[Product Category],Table2[Delivery SLA (Days)],"NA",0)</f>
        <v>10</v>
      </c>
      <c r="P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 spans="1:16" x14ac:dyDescent="0.2">
      <c r="A82" t="s">
        <v>108</v>
      </c>
      <c r="B82" t="s">
        <v>12</v>
      </c>
      <c r="C82">
        <v>7</v>
      </c>
      <c r="D82">
        <v>5</v>
      </c>
      <c r="E82" t="s">
        <v>29</v>
      </c>
      <c r="F82">
        <v>137.25</v>
      </c>
      <c r="G82">
        <v>18</v>
      </c>
      <c r="H82" t="s">
        <v>29</v>
      </c>
      <c r="I82" t="s">
        <v>25</v>
      </c>
      <c r="J82" t="s">
        <v>25</v>
      </c>
      <c r="K82">
        <v>137.25</v>
      </c>
      <c r="L82" t="s">
        <v>16</v>
      </c>
      <c r="M82" t="s">
        <v>16</v>
      </c>
      <c r="N82" t="s">
        <v>924</v>
      </c>
      <c r="O82">
        <f>_xlfn.XLOOKUP(customer_satisfaction_cleaned[[#This Row],[Product Category]],Table2[Product Category],Table2[Delivery SLA (Days)],"NA",0)</f>
        <v>5</v>
      </c>
      <c r="P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 spans="1:16" x14ac:dyDescent="0.2">
      <c r="A83" t="s">
        <v>109</v>
      </c>
      <c r="B83" t="s">
        <v>47</v>
      </c>
      <c r="C83">
        <v>5</v>
      </c>
      <c r="D83">
        <v>5</v>
      </c>
      <c r="E83" t="s">
        <v>34</v>
      </c>
      <c r="F83">
        <v>140.44999999999999</v>
      </c>
      <c r="G83">
        <v>69</v>
      </c>
      <c r="H83" t="s">
        <v>44</v>
      </c>
      <c r="I83" t="s">
        <v>25</v>
      </c>
      <c r="J83" t="s">
        <v>20</v>
      </c>
      <c r="K83">
        <v>140.44999999999999</v>
      </c>
      <c r="L83" t="s">
        <v>16</v>
      </c>
      <c r="M83" t="s">
        <v>16</v>
      </c>
      <c r="N83" t="s">
        <v>925</v>
      </c>
      <c r="O83">
        <f>_xlfn.XLOOKUP(customer_satisfaction_cleaned[[#This Row],[Product Category]],Table2[Product Category],Table2[Delivery SLA (Days)],"NA",0)</f>
        <v>7</v>
      </c>
      <c r="P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 spans="1:16" x14ac:dyDescent="0.2">
      <c r="A84" t="s">
        <v>110</v>
      </c>
      <c r="B84" t="s">
        <v>47</v>
      </c>
      <c r="C84">
        <v>7</v>
      </c>
      <c r="D84">
        <v>5</v>
      </c>
      <c r="E84" t="s">
        <v>29</v>
      </c>
      <c r="F84">
        <v>124.22</v>
      </c>
      <c r="G84">
        <v>59</v>
      </c>
      <c r="H84" t="s">
        <v>29</v>
      </c>
      <c r="I84" t="s">
        <v>25</v>
      </c>
      <c r="J84" t="s">
        <v>25</v>
      </c>
      <c r="K84">
        <v>124.22</v>
      </c>
      <c r="L84" t="s">
        <v>16</v>
      </c>
      <c r="M84" t="s">
        <v>16</v>
      </c>
      <c r="N84" t="s">
        <v>923</v>
      </c>
      <c r="O84">
        <f>_xlfn.XLOOKUP(customer_satisfaction_cleaned[[#This Row],[Product Category]],Table2[Product Category],Table2[Delivery SLA (Days)],"NA",0)</f>
        <v>7</v>
      </c>
      <c r="P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 spans="1:16" x14ac:dyDescent="0.2">
      <c r="A85" t="s">
        <v>111</v>
      </c>
      <c r="B85" t="s">
        <v>12</v>
      </c>
      <c r="C85">
        <v>7</v>
      </c>
      <c r="D85">
        <v>0</v>
      </c>
      <c r="E85" t="s">
        <v>29</v>
      </c>
      <c r="F85">
        <v>64.05</v>
      </c>
      <c r="G85">
        <v>46</v>
      </c>
      <c r="H85" t="s">
        <v>44</v>
      </c>
      <c r="I85" t="s">
        <v>25</v>
      </c>
      <c r="J85" t="s">
        <v>20</v>
      </c>
      <c r="K85">
        <v>64.05</v>
      </c>
      <c r="L85" t="s">
        <v>16</v>
      </c>
      <c r="M85" t="s">
        <v>16</v>
      </c>
      <c r="N85" t="s">
        <v>923</v>
      </c>
      <c r="O85">
        <f>_xlfn.XLOOKUP(customer_satisfaction_cleaned[[#This Row],[Product Category]],Table2[Product Category],Table2[Delivery SLA (Days)],"NA",0)</f>
        <v>5</v>
      </c>
      <c r="P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 spans="1:16" x14ac:dyDescent="0.2">
      <c r="A86" t="s">
        <v>112</v>
      </c>
      <c r="B86" t="s">
        <v>47</v>
      </c>
      <c r="C86">
        <v>5</v>
      </c>
      <c r="D86">
        <v>6</v>
      </c>
      <c r="E86" t="s">
        <v>13</v>
      </c>
      <c r="F86">
        <v>72.59</v>
      </c>
      <c r="G86">
        <v>9</v>
      </c>
      <c r="H86" t="s">
        <v>34</v>
      </c>
      <c r="I86" t="s">
        <v>13</v>
      </c>
      <c r="J86" t="s">
        <v>25</v>
      </c>
      <c r="K86">
        <v>72.59</v>
      </c>
      <c r="L86" t="s">
        <v>16</v>
      </c>
      <c r="M86" t="s">
        <v>16</v>
      </c>
      <c r="N86" t="s">
        <v>926</v>
      </c>
      <c r="O86">
        <f>_xlfn.XLOOKUP(customer_satisfaction_cleaned[[#This Row],[Product Category]],Table2[Product Category],Table2[Delivery SLA (Days)],"NA",0)</f>
        <v>7</v>
      </c>
      <c r="P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 spans="1:16" x14ac:dyDescent="0.2">
      <c r="A87" t="s">
        <v>113</v>
      </c>
      <c r="B87" t="s">
        <v>47</v>
      </c>
      <c r="C87">
        <v>5</v>
      </c>
      <c r="D87">
        <v>4</v>
      </c>
      <c r="E87" t="s">
        <v>13</v>
      </c>
      <c r="F87">
        <v>123.63</v>
      </c>
      <c r="G87">
        <v>38</v>
      </c>
      <c r="H87" t="s">
        <v>20</v>
      </c>
      <c r="I87" t="s">
        <v>13</v>
      </c>
      <c r="J87" t="s">
        <v>20</v>
      </c>
      <c r="K87">
        <v>123.63</v>
      </c>
      <c r="L87" t="s">
        <v>16</v>
      </c>
      <c r="M87" t="s">
        <v>16</v>
      </c>
      <c r="N87" t="s">
        <v>923</v>
      </c>
      <c r="O87">
        <f>_xlfn.XLOOKUP(customer_satisfaction_cleaned[[#This Row],[Product Category]],Table2[Product Category],Table2[Delivery SLA (Days)],"NA",0)</f>
        <v>7</v>
      </c>
      <c r="P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 spans="1:16" x14ac:dyDescent="0.2">
      <c r="A88" t="s">
        <v>17</v>
      </c>
      <c r="B88" t="s">
        <v>23</v>
      </c>
      <c r="C88">
        <v>4</v>
      </c>
      <c r="D88">
        <v>6</v>
      </c>
      <c r="E88" t="s">
        <v>21</v>
      </c>
      <c r="F88">
        <v>34.19</v>
      </c>
      <c r="G88">
        <v>10</v>
      </c>
      <c r="H88" t="s">
        <v>20</v>
      </c>
      <c r="I88" t="s">
        <v>21</v>
      </c>
      <c r="J88" t="s">
        <v>20</v>
      </c>
      <c r="K88">
        <v>34.19</v>
      </c>
      <c r="L88" t="s">
        <v>16</v>
      </c>
      <c r="M88" t="s">
        <v>16</v>
      </c>
      <c r="N88" t="s">
        <v>926</v>
      </c>
      <c r="O88">
        <f>_xlfn.XLOOKUP(customer_satisfaction_cleaned[[#This Row],[Product Category]],Table2[Product Category],Table2[Delivery SLA (Days)],"NA",0)</f>
        <v>7</v>
      </c>
      <c r="P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 spans="1:16" x14ac:dyDescent="0.2">
      <c r="A89" t="s">
        <v>114</v>
      </c>
      <c r="B89" t="s">
        <v>18</v>
      </c>
      <c r="C89">
        <v>7</v>
      </c>
      <c r="D89">
        <v>3</v>
      </c>
      <c r="E89" t="s">
        <v>32</v>
      </c>
      <c r="F89">
        <v>89.79</v>
      </c>
      <c r="G89">
        <v>40</v>
      </c>
      <c r="H89" t="s">
        <v>42</v>
      </c>
      <c r="I89" t="s">
        <v>13</v>
      </c>
      <c r="J89" t="s">
        <v>25</v>
      </c>
      <c r="K89">
        <v>89.79</v>
      </c>
      <c r="L89" t="s">
        <v>16</v>
      </c>
      <c r="M89" t="s">
        <v>16</v>
      </c>
      <c r="N89" t="s">
        <v>923</v>
      </c>
      <c r="O89">
        <f>_xlfn.XLOOKUP(customer_satisfaction_cleaned[[#This Row],[Product Category]],Table2[Product Category],Table2[Delivery SLA (Days)],"NA",0)</f>
        <v>10</v>
      </c>
      <c r="P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 spans="1:16" x14ac:dyDescent="0.2">
      <c r="A90" t="s">
        <v>115</v>
      </c>
      <c r="B90" t="s">
        <v>18</v>
      </c>
      <c r="C90">
        <v>9</v>
      </c>
      <c r="D90">
        <v>4</v>
      </c>
      <c r="E90" t="s">
        <v>19</v>
      </c>
      <c r="F90">
        <v>53.61</v>
      </c>
      <c r="G90">
        <v>36</v>
      </c>
      <c r="H90" t="s">
        <v>14</v>
      </c>
      <c r="I90" t="s">
        <v>21</v>
      </c>
      <c r="J90" t="s">
        <v>15</v>
      </c>
      <c r="K90">
        <v>53.61</v>
      </c>
      <c r="L90" t="s">
        <v>16</v>
      </c>
      <c r="M90" t="s">
        <v>16</v>
      </c>
      <c r="N90" t="s">
        <v>923</v>
      </c>
      <c r="O90">
        <f>_xlfn.XLOOKUP(customer_satisfaction_cleaned[[#This Row],[Product Category]],Table2[Product Category],Table2[Delivery SLA (Days)],"NA",0)</f>
        <v>10</v>
      </c>
      <c r="P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 spans="1:16" x14ac:dyDescent="0.2">
      <c r="A91" t="s">
        <v>116</v>
      </c>
      <c r="B91" t="s">
        <v>23</v>
      </c>
      <c r="C91">
        <v>6</v>
      </c>
      <c r="D91">
        <v>8</v>
      </c>
      <c r="E91" t="s">
        <v>29</v>
      </c>
      <c r="F91">
        <v>41.08</v>
      </c>
      <c r="G91">
        <v>40</v>
      </c>
      <c r="H91" t="s">
        <v>14</v>
      </c>
      <c r="I91" t="s">
        <v>25</v>
      </c>
      <c r="J91" t="s">
        <v>15</v>
      </c>
      <c r="K91">
        <v>41.08</v>
      </c>
      <c r="L91" t="s">
        <v>16</v>
      </c>
      <c r="M91" t="s">
        <v>16</v>
      </c>
      <c r="N91" t="s">
        <v>923</v>
      </c>
      <c r="O91">
        <f>_xlfn.XLOOKUP(customer_satisfaction_cleaned[[#This Row],[Product Category]],Table2[Product Category],Table2[Delivery SLA (Days)],"NA",0)</f>
        <v>7</v>
      </c>
      <c r="P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2" spans="1:16" x14ac:dyDescent="0.2">
      <c r="A92" t="s">
        <v>117</v>
      </c>
      <c r="B92" t="s">
        <v>12</v>
      </c>
      <c r="C92">
        <v>7</v>
      </c>
      <c r="D92">
        <v>7</v>
      </c>
      <c r="E92" t="s">
        <v>13</v>
      </c>
      <c r="F92">
        <v>70.3</v>
      </c>
      <c r="G92">
        <v>51</v>
      </c>
      <c r="H92" t="s">
        <v>42</v>
      </c>
      <c r="I92" t="s">
        <v>13</v>
      </c>
      <c r="J92" t="s">
        <v>25</v>
      </c>
      <c r="K92">
        <v>70.3</v>
      </c>
      <c r="L92" t="s">
        <v>16</v>
      </c>
      <c r="M92" t="s">
        <v>16</v>
      </c>
      <c r="N92" t="s">
        <v>923</v>
      </c>
      <c r="O92">
        <f>_xlfn.XLOOKUP(customer_satisfaction_cleaned[[#This Row],[Product Category]],Table2[Product Category],Table2[Delivery SLA (Days)],"NA",0)</f>
        <v>5</v>
      </c>
      <c r="P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3" spans="1:16" x14ac:dyDescent="0.2">
      <c r="A93" t="s">
        <v>118</v>
      </c>
      <c r="B93" t="s">
        <v>18</v>
      </c>
      <c r="C93">
        <v>4</v>
      </c>
      <c r="D93">
        <v>6</v>
      </c>
      <c r="E93" t="s">
        <v>21</v>
      </c>
      <c r="F93">
        <v>60.39</v>
      </c>
      <c r="G93">
        <v>29</v>
      </c>
      <c r="H93" t="s">
        <v>44</v>
      </c>
      <c r="I93" t="s">
        <v>21</v>
      </c>
      <c r="J93" t="s">
        <v>20</v>
      </c>
      <c r="K93">
        <v>60.39</v>
      </c>
      <c r="L93" t="s">
        <v>16</v>
      </c>
      <c r="M93" t="s">
        <v>16</v>
      </c>
      <c r="N93" t="s">
        <v>924</v>
      </c>
      <c r="O93">
        <f>_xlfn.XLOOKUP(customer_satisfaction_cleaned[[#This Row],[Product Category]],Table2[Product Category],Table2[Delivery SLA (Days)],"NA",0)</f>
        <v>10</v>
      </c>
      <c r="P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4" spans="1:16" x14ac:dyDescent="0.2">
      <c r="A94" t="s">
        <v>119</v>
      </c>
      <c r="B94" t="s">
        <v>23</v>
      </c>
      <c r="C94">
        <v>8</v>
      </c>
      <c r="D94">
        <v>3</v>
      </c>
      <c r="E94" t="s">
        <v>32</v>
      </c>
      <c r="F94">
        <v>123.98</v>
      </c>
      <c r="G94">
        <v>55</v>
      </c>
      <c r="H94" t="s">
        <v>29</v>
      </c>
      <c r="I94" t="s">
        <v>13</v>
      </c>
      <c r="J94" t="s">
        <v>25</v>
      </c>
      <c r="K94">
        <v>123.98</v>
      </c>
      <c r="L94" t="s">
        <v>16</v>
      </c>
      <c r="M94" t="s">
        <v>16</v>
      </c>
      <c r="N94" t="s">
        <v>923</v>
      </c>
      <c r="O94">
        <f>_xlfn.XLOOKUP(customer_satisfaction_cleaned[[#This Row],[Product Category]],Table2[Product Category],Table2[Delivery SLA (Days)],"NA",0)</f>
        <v>7</v>
      </c>
      <c r="P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5" spans="1:16" x14ac:dyDescent="0.2">
      <c r="A95" t="s">
        <v>120</v>
      </c>
      <c r="B95" t="s">
        <v>23</v>
      </c>
      <c r="C95">
        <v>7</v>
      </c>
      <c r="D95">
        <v>4</v>
      </c>
      <c r="E95" t="s">
        <v>21</v>
      </c>
      <c r="F95">
        <v>155.77000000000001</v>
      </c>
      <c r="G95">
        <v>49</v>
      </c>
      <c r="H95" t="s">
        <v>44</v>
      </c>
      <c r="I95" t="s">
        <v>21</v>
      </c>
      <c r="J95" t="s">
        <v>20</v>
      </c>
      <c r="K95">
        <v>155.77000000000001</v>
      </c>
      <c r="L95" t="s">
        <v>16</v>
      </c>
      <c r="M95" t="s">
        <v>16</v>
      </c>
      <c r="N95" t="s">
        <v>923</v>
      </c>
      <c r="O95">
        <f>_xlfn.XLOOKUP(customer_satisfaction_cleaned[[#This Row],[Product Category]],Table2[Product Category],Table2[Delivery SLA (Days)],"NA",0)</f>
        <v>7</v>
      </c>
      <c r="P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6" spans="1:16" x14ac:dyDescent="0.2">
      <c r="A96" t="s">
        <v>121</v>
      </c>
      <c r="B96" t="s">
        <v>23</v>
      </c>
      <c r="C96">
        <v>7</v>
      </c>
      <c r="D96">
        <v>6</v>
      </c>
      <c r="E96" t="s">
        <v>32</v>
      </c>
      <c r="F96">
        <v>2918</v>
      </c>
      <c r="G96">
        <v>53</v>
      </c>
      <c r="H96" t="s">
        <v>42</v>
      </c>
      <c r="I96" t="s">
        <v>13</v>
      </c>
      <c r="J96" t="s">
        <v>25</v>
      </c>
      <c r="K96">
        <v>2918</v>
      </c>
      <c r="L96" t="s">
        <v>16</v>
      </c>
      <c r="M96" t="s">
        <v>16</v>
      </c>
      <c r="N96" t="s">
        <v>923</v>
      </c>
      <c r="O96">
        <f>_xlfn.XLOOKUP(customer_satisfaction_cleaned[[#This Row],[Product Category]],Table2[Product Category],Table2[Delivery SLA (Days)],"NA",0)</f>
        <v>7</v>
      </c>
      <c r="P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7" spans="1:16" x14ac:dyDescent="0.2">
      <c r="A97" t="s">
        <v>122</v>
      </c>
      <c r="B97" t="s">
        <v>18</v>
      </c>
      <c r="C97">
        <v>8</v>
      </c>
      <c r="D97">
        <v>3</v>
      </c>
      <c r="E97" t="s">
        <v>29</v>
      </c>
      <c r="F97">
        <v>129.32</v>
      </c>
      <c r="G97">
        <v>23</v>
      </c>
      <c r="H97" t="s">
        <v>15</v>
      </c>
      <c r="I97" t="s">
        <v>25</v>
      </c>
      <c r="J97" t="s">
        <v>15</v>
      </c>
      <c r="K97">
        <v>129.32</v>
      </c>
      <c r="L97" t="s">
        <v>16</v>
      </c>
      <c r="M97" t="s">
        <v>16</v>
      </c>
      <c r="N97" t="s">
        <v>924</v>
      </c>
      <c r="O97">
        <f>_xlfn.XLOOKUP(customer_satisfaction_cleaned[[#This Row],[Product Category]],Table2[Product Category],Table2[Delivery SLA (Days)],"NA",0)</f>
        <v>10</v>
      </c>
      <c r="P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8" spans="1:16" x14ac:dyDescent="0.2">
      <c r="A98" t="s">
        <v>123</v>
      </c>
      <c r="B98" t="s">
        <v>47</v>
      </c>
      <c r="C98">
        <v>8</v>
      </c>
      <c r="D98">
        <v>3</v>
      </c>
      <c r="E98" t="s">
        <v>21</v>
      </c>
      <c r="F98">
        <v>105.98</v>
      </c>
      <c r="G98">
        <v>34</v>
      </c>
      <c r="H98" t="s">
        <v>24</v>
      </c>
      <c r="I98" t="s">
        <v>21</v>
      </c>
      <c r="J98" t="s">
        <v>25</v>
      </c>
      <c r="K98">
        <v>105.98</v>
      </c>
      <c r="L98" t="s">
        <v>16</v>
      </c>
      <c r="M98" t="s">
        <v>16</v>
      </c>
      <c r="N98" t="s">
        <v>923</v>
      </c>
      <c r="O98">
        <f>_xlfn.XLOOKUP(customer_satisfaction_cleaned[[#This Row],[Product Category]],Table2[Product Category],Table2[Delivery SLA (Days)],"NA",0)</f>
        <v>7</v>
      </c>
      <c r="P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9" spans="1:16" x14ac:dyDescent="0.2">
      <c r="A99" t="s">
        <v>124</v>
      </c>
      <c r="B99" t="s">
        <v>36</v>
      </c>
      <c r="C99">
        <v>8</v>
      </c>
      <c r="E99" t="s">
        <v>13</v>
      </c>
      <c r="F99">
        <v>88.02</v>
      </c>
      <c r="G99">
        <v>35</v>
      </c>
      <c r="H99" t="s">
        <v>14</v>
      </c>
      <c r="I99" t="s">
        <v>13</v>
      </c>
      <c r="J99" t="s">
        <v>15</v>
      </c>
      <c r="K99">
        <v>88.02</v>
      </c>
      <c r="L99" t="s">
        <v>16</v>
      </c>
      <c r="M99" t="s">
        <v>937</v>
      </c>
      <c r="N99" t="s">
        <v>923</v>
      </c>
      <c r="O99" t="str">
        <f>_xlfn.XLOOKUP(customer_satisfaction_cleaned[[#This Row],[Product Category]],Table2[Product Category],Table2[Delivery SLA (Days)],"NA",0)</f>
        <v>NA</v>
      </c>
      <c r="P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00" spans="1:16" x14ac:dyDescent="0.2">
      <c r="A100" t="s">
        <v>125</v>
      </c>
      <c r="B100" t="s">
        <v>18</v>
      </c>
      <c r="C100">
        <v>8</v>
      </c>
      <c r="D100">
        <v>4</v>
      </c>
      <c r="E100" t="s">
        <v>13</v>
      </c>
      <c r="F100">
        <v>85.72</v>
      </c>
      <c r="G100">
        <v>67</v>
      </c>
      <c r="H100" t="s">
        <v>24</v>
      </c>
      <c r="I100" t="s">
        <v>13</v>
      </c>
      <c r="J100" t="s">
        <v>25</v>
      </c>
      <c r="K100">
        <v>85.72</v>
      </c>
      <c r="L100" t="s">
        <v>16</v>
      </c>
      <c r="M100" t="s">
        <v>16</v>
      </c>
      <c r="N100" t="s">
        <v>925</v>
      </c>
      <c r="O100">
        <f>_xlfn.XLOOKUP(customer_satisfaction_cleaned[[#This Row],[Product Category]],Table2[Product Category],Table2[Delivery SLA (Days)],"NA",0)</f>
        <v>10</v>
      </c>
      <c r="P1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1" spans="1:16" x14ac:dyDescent="0.2">
      <c r="A101" t="s">
        <v>126</v>
      </c>
      <c r="B101" t="s">
        <v>23</v>
      </c>
      <c r="C101">
        <v>8</v>
      </c>
      <c r="D101">
        <v>4</v>
      </c>
      <c r="E101" t="s">
        <v>19</v>
      </c>
      <c r="F101">
        <v>181.11</v>
      </c>
      <c r="G101">
        <v>40</v>
      </c>
      <c r="H101" t="s">
        <v>34</v>
      </c>
      <c r="I101" t="s">
        <v>21</v>
      </c>
      <c r="J101" t="s">
        <v>25</v>
      </c>
      <c r="K101">
        <v>181.11</v>
      </c>
      <c r="L101" t="s">
        <v>16</v>
      </c>
      <c r="M101" t="s">
        <v>16</v>
      </c>
      <c r="N101" t="s">
        <v>923</v>
      </c>
      <c r="O101">
        <f>_xlfn.XLOOKUP(customer_satisfaction_cleaned[[#This Row],[Product Category]],Table2[Product Category],Table2[Delivery SLA (Days)],"NA",0)</f>
        <v>7</v>
      </c>
      <c r="P1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2" spans="1:16" x14ac:dyDescent="0.2">
      <c r="A102" t="s">
        <v>127</v>
      </c>
      <c r="B102" t="s">
        <v>47</v>
      </c>
      <c r="C102">
        <v>6</v>
      </c>
      <c r="D102">
        <v>2</v>
      </c>
      <c r="E102" t="s">
        <v>21</v>
      </c>
      <c r="F102">
        <v>113.84</v>
      </c>
      <c r="G102">
        <v>5</v>
      </c>
      <c r="H102" t="s">
        <v>24</v>
      </c>
      <c r="I102" t="s">
        <v>21</v>
      </c>
      <c r="J102" t="s">
        <v>25</v>
      </c>
      <c r="K102">
        <v>113.84</v>
      </c>
      <c r="L102" t="s">
        <v>16</v>
      </c>
      <c r="M102" t="s">
        <v>16</v>
      </c>
      <c r="N102" t="s">
        <v>926</v>
      </c>
      <c r="O102">
        <f>_xlfn.XLOOKUP(customer_satisfaction_cleaned[[#This Row],[Product Category]],Table2[Product Category],Table2[Delivery SLA (Days)],"NA",0)</f>
        <v>7</v>
      </c>
      <c r="P1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3" spans="1:16" x14ac:dyDescent="0.2">
      <c r="A103" t="s">
        <v>17</v>
      </c>
      <c r="B103" t="s">
        <v>47</v>
      </c>
      <c r="C103">
        <v>8</v>
      </c>
      <c r="D103">
        <v>2</v>
      </c>
      <c r="E103" t="s">
        <v>19</v>
      </c>
      <c r="F103">
        <v>139.29</v>
      </c>
      <c r="G103">
        <v>13</v>
      </c>
      <c r="H103" t="s">
        <v>14</v>
      </c>
      <c r="I103" t="s">
        <v>21</v>
      </c>
      <c r="J103" t="s">
        <v>15</v>
      </c>
      <c r="K103">
        <v>139.29</v>
      </c>
      <c r="L103" t="s">
        <v>16</v>
      </c>
      <c r="M103" t="s">
        <v>16</v>
      </c>
      <c r="N103" t="s">
        <v>926</v>
      </c>
      <c r="O103">
        <f>_xlfn.XLOOKUP(customer_satisfaction_cleaned[[#This Row],[Product Category]],Table2[Product Category],Table2[Delivery SLA (Days)],"NA",0)</f>
        <v>7</v>
      </c>
      <c r="P1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4" spans="1:16" x14ac:dyDescent="0.2">
      <c r="A104" t="s">
        <v>128</v>
      </c>
      <c r="B104" t="s">
        <v>47</v>
      </c>
      <c r="C104">
        <v>8</v>
      </c>
      <c r="D104">
        <v>3</v>
      </c>
      <c r="E104" t="s">
        <v>21</v>
      </c>
      <c r="F104">
        <v>139.59</v>
      </c>
      <c r="G104">
        <v>61</v>
      </c>
      <c r="H104" t="s">
        <v>34</v>
      </c>
      <c r="I104" t="s">
        <v>21</v>
      </c>
      <c r="J104" t="s">
        <v>25</v>
      </c>
      <c r="K104">
        <v>139.59</v>
      </c>
      <c r="L104" t="s">
        <v>16</v>
      </c>
      <c r="M104" t="s">
        <v>16</v>
      </c>
      <c r="N104" t="s">
        <v>925</v>
      </c>
      <c r="O104">
        <f>_xlfn.XLOOKUP(customer_satisfaction_cleaned[[#This Row],[Product Category]],Table2[Product Category],Table2[Delivery SLA (Days)],"NA",0)</f>
        <v>7</v>
      </c>
      <c r="P1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5" spans="1:16" x14ac:dyDescent="0.2">
      <c r="A105" t="s">
        <v>129</v>
      </c>
      <c r="B105" t="s">
        <v>23</v>
      </c>
      <c r="C105">
        <v>7</v>
      </c>
      <c r="D105">
        <v>4</v>
      </c>
      <c r="E105" t="s">
        <v>32</v>
      </c>
      <c r="F105">
        <v>186.6</v>
      </c>
      <c r="G105">
        <v>60</v>
      </c>
      <c r="H105" t="s">
        <v>42</v>
      </c>
      <c r="I105" t="s">
        <v>13</v>
      </c>
      <c r="J105" t="s">
        <v>25</v>
      </c>
      <c r="K105">
        <v>186.6</v>
      </c>
      <c r="L105" t="s">
        <v>16</v>
      </c>
      <c r="M105" t="s">
        <v>16</v>
      </c>
      <c r="N105" t="s">
        <v>925</v>
      </c>
      <c r="O105">
        <f>_xlfn.XLOOKUP(customer_satisfaction_cleaned[[#This Row],[Product Category]],Table2[Product Category],Table2[Delivery SLA (Days)],"NA",0)</f>
        <v>7</v>
      </c>
      <c r="P1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6" spans="1:16" x14ac:dyDescent="0.2">
      <c r="A106" t="s">
        <v>130</v>
      </c>
      <c r="B106" t="s">
        <v>23</v>
      </c>
      <c r="C106">
        <v>8</v>
      </c>
      <c r="D106">
        <v>5</v>
      </c>
      <c r="E106" t="s">
        <v>21</v>
      </c>
      <c r="F106">
        <v>141.05000000000001</v>
      </c>
      <c r="G106">
        <v>14</v>
      </c>
      <c r="H106" t="s">
        <v>44</v>
      </c>
      <c r="I106" t="s">
        <v>21</v>
      </c>
      <c r="J106" t="s">
        <v>20</v>
      </c>
      <c r="K106">
        <v>141.05000000000001</v>
      </c>
      <c r="L106" t="s">
        <v>16</v>
      </c>
      <c r="M106" t="s">
        <v>16</v>
      </c>
      <c r="N106" t="s">
        <v>926</v>
      </c>
      <c r="O106">
        <f>_xlfn.XLOOKUP(customer_satisfaction_cleaned[[#This Row],[Product Category]],Table2[Product Category],Table2[Delivery SLA (Days)],"NA",0)</f>
        <v>7</v>
      </c>
      <c r="P1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7" spans="1:16" x14ac:dyDescent="0.2">
      <c r="A107" t="s">
        <v>131</v>
      </c>
      <c r="B107" t="s">
        <v>12</v>
      </c>
      <c r="C107">
        <v>6</v>
      </c>
      <c r="D107">
        <v>6</v>
      </c>
      <c r="E107" t="s">
        <v>13</v>
      </c>
      <c r="F107">
        <v>140.37</v>
      </c>
      <c r="G107">
        <v>41</v>
      </c>
      <c r="H107" t="s">
        <v>42</v>
      </c>
      <c r="I107" t="s">
        <v>13</v>
      </c>
      <c r="J107" t="s">
        <v>25</v>
      </c>
      <c r="K107">
        <v>140.37</v>
      </c>
      <c r="L107" t="s">
        <v>16</v>
      </c>
      <c r="M107" t="s">
        <v>16</v>
      </c>
      <c r="N107" t="s">
        <v>923</v>
      </c>
      <c r="O107">
        <f>_xlfn.XLOOKUP(customer_satisfaction_cleaned[[#This Row],[Product Category]],Table2[Product Category],Table2[Delivery SLA (Days)],"NA",0)</f>
        <v>5</v>
      </c>
      <c r="P1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08" spans="1:16" x14ac:dyDescent="0.2">
      <c r="A108" t="s">
        <v>132</v>
      </c>
      <c r="B108" t="s">
        <v>47</v>
      </c>
      <c r="C108">
        <v>10</v>
      </c>
      <c r="D108">
        <v>-1</v>
      </c>
      <c r="E108" t="s">
        <v>19</v>
      </c>
      <c r="F108">
        <v>131.04</v>
      </c>
      <c r="G108">
        <v>57</v>
      </c>
      <c r="H108" t="s">
        <v>29</v>
      </c>
      <c r="I108" t="s">
        <v>21</v>
      </c>
      <c r="J108" t="s">
        <v>25</v>
      </c>
      <c r="K108">
        <v>131.04</v>
      </c>
      <c r="L108" t="s">
        <v>16</v>
      </c>
      <c r="M108" t="s">
        <v>133</v>
      </c>
      <c r="N108" t="s">
        <v>923</v>
      </c>
      <c r="O108">
        <f>_xlfn.XLOOKUP(customer_satisfaction_cleaned[[#This Row],[Product Category]],Table2[Product Category],Table2[Delivery SLA (Days)],"NA",0)</f>
        <v>7</v>
      </c>
      <c r="P1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9" spans="1:16" x14ac:dyDescent="0.2">
      <c r="A109" t="s">
        <v>134</v>
      </c>
      <c r="B109" t="s">
        <v>47</v>
      </c>
      <c r="C109">
        <v>7</v>
      </c>
      <c r="D109">
        <v>7</v>
      </c>
      <c r="E109" t="s">
        <v>21</v>
      </c>
      <c r="F109">
        <v>74.64</v>
      </c>
      <c r="G109">
        <v>28</v>
      </c>
      <c r="H109" t="s">
        <v>44</v>
      </c>
      <c r="I109" t="s">
        <v>21</v>
      </c>
      <c r="J109" t="s">
        <v>20</v>
      </c>
      <c r="K109">
        <v>74.64</v>
      </c>
      <c r="L109" t="s">
        <v>16</v>
      </c>
      <c r="M109" t="s">
        <v>16</v>
      </c>
      <c r="N109" t="s">
        <v>924</v>
      </c>
      <c r="O109">
        <f>_xlfn.XLOOKUP(customer_satisfaction_cleaned[[#This Row],[Product Category]],Table2[Product Category],Table2[Delivery SLA (Days)],"NA",0)</f>
        <v>7</v>
      </c>
      <c r="P1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0" spans="1:16" x14ac:dyDescent="0.2">
      <c r="A110" t="s">
        <v>135</v>
      </c>
      <c r="B110" t="s">
        <v>18</v>
      </c>
      <c r="C110">
        <v>8</v>
      </c>
      <c r="E110" t="s">
        <v>29</v>
      </c>
      <c r="F110">
        <v>101.4</v>
      </c>
      <c r="G110">
        <v>25</v>
      </c>
      <c r="H110" t="s">
        <v>20</v>
      </c>
      <c r="I110" t="s">
        <v>25</v>
      </c>
      <c r="J110" t="s">
        <v>20</v>
      </c>
      <c r="K110">
        <v>101.4</v>
      </c>
      <c r="L110" t="s">
        <v>16</v>
      </c>
      <c r="M110" t="s">
        <v>937</v>
      </c>
      <c r="N110" t="s">
        <v>924</v>
      </c>
      <c r="O110">
        <f>_xlfn.XLOOKUP(customer_satisfaction_cleaned[[#This Row],[Product Category]],Table2[Product Category],Table2[Delivery SLA (Days)],"NA",0)</f>
        <v>10</v>
      </c>
      <c r="P1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11" spans="1:16" x14ac:dyDescent="0.2">
      <c r="A111" t="s">
        <v>136</v>
      </c>
      <c r="B111" t="s">
        <v>47</v>
      </c>
      <c r="C111">
        <v>8</v>
      </c>
      <c r="D111">
        <v>7</v>
      </c>
      <c r="E111" t="s">
        <v>13</v>
      </c>
      <c r="F111">
        <v>151.83000000000001</v>
      </c>
      <c r="G111">
        <v>42</v>
      </c>
      <c r="H111" t="s">
        <v>24</v>
      </c>
      <c r="I111" t="s">
        <v>13</v>
      </c>
      <c r="J111" t="s">
        <v>25</v>
      </c>
      <c r="K111">
        <v>151.83000000000001</v>
      </c>
      <c r="L111" t="s">
        <v>16</v>
      </c>
      <c r="M111" t="s">
        <v>16</v>
      </c>
      <c r="N111" t="s">
        <v>923</v>
      </c>
      <c r="O111">
        <f>_xlfn.XLOOKUP(customer_satisfaction_cleaned[[#This Row],[Product Category]],Table2[Product Category],Table2[Delivery SLA (Days)],"NA",0)</f>
        <v>7</v>
      </c>
      <c r="P1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2" spans="1:16" x14ac:dyDescent="0.2">
      <c r="A112" t="s">
        <v>137</v>
      </c>
      <c r="B112" t="s">
        <v>47</v>
      </c>
      <c r="C112">
        <v>6</v>
      </c>
      <c r="D112">
        <v>5</v>
      </c>
      <c r="E112" t="s">
        <v>13</v>
      </c>
      <c r="F112">
        <v>134.44</v>
      </c>
      <c r="G112">
        <v>32</v>
      </c>
      <c r="H112" t="s">
        <v>14</v>
      </c>
      <c r="I112" t="s">
        <v>13</v>
      </c>
      <c r="J112" t="s">
        <v>15</v>
      </c>
      <c r="K112">
        <v>134.44</v>
      </c>
      <c r="L112" t="s">
        <v>16</v>
      </c>
      <c r="M112" t="s">
        <v>16</v>
      </c>
      <c r="N112" t="s">
        <v>923</v>
      </c>
      <c r="O112">
        <f>_xlfn.XLOOKUP(customer_satisfaction_cleaned[[#This Row],[Product Category]],Table2[Product Category],Table2[Delivery SLA (Days)],"NA",0)</f>
        <v>7</v>
      </c>
      <c r="P1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3" spans="1:16" x14ac:dyDescent="0.2">
      <c r="A113" t="s">
        <v>138</v>
      </c>
      <c r="B113" t="s">
        <v>23</v>
      </c>
      <c r="C113">
        <v>10</v>
      </c>
      <c r="D113">
        <v>5</v>
      </c>
      <c r="E113" t="s">
        <v>13</v>
      </c>
      <c r="F113">
        <v>96.95</v>
      </c>
      <c r="G113">
        <v>29</v>
      </c>
      <c r="H113" t="s">
        <v>20</v>
      </c>
      <c r="I113" t="s">
        <v>13</v>
      </c>
      <c r="J113" t="s">
        <v>20</v>
      </c>
      <c r="K113">
        <v>96.95</v>
      </c>
      <c r="L113" t="s">
        <v>16</v>
      </c>
      <c r="M113" t="s">
        <v>16</v>
      </c>
      <c r="N113" t="s">
        <v>924</v>
      </c>
      <c r="O113">
        <f>_xlfn.XLOOKUP(customer_satisfaction_cleaned[[#This Row],[Product Category]],Table2[Product Category],Table2[Delivery SLA (Days)],"NA",0)</f>
        <v>7</v>
      </c>
      <c r="P1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4" spans="1:16" x14ac:dyDescent="0.2">
      <c r="A114" t="s">
        <v>139</v>
      </c>
      <c r="B114" t="s">
        <v>47</v>
      </c>
      <c r="C114">
        <v>10</v>
      </c>
      <c r="D114">
        <v>4</v>
      </c>
      <c r="E114" t="s">
        <v>21</v>
      </c>
      <c r="F114">
        <v>65.39</v>
      </c>
      <c r="G114">
        <v>27</v>
      </c>
      <c r="H114" t="s">
        <v>14</v>
      </c>
      <c r="I114" t="s">
        <v>21</v>
      </c>
      <c r="J114" t="s">
        <v>15</v>
      </c>
      <c r="K114">
        <v>65.39</v>
      </c>
      <c r="L114" t="s">
        <v>16</v>
      </c>
      <c r="M114" t="s">
        <v>16</v>
      </c>
      <c r="N114" t="s">
        <v>924</v>
      </c>
      <c r="O114">
        <f>_xlfn.XLOOKUP(customer_satisfaction_cleaned[[#This Row],[Product Category]],Table2[Product Category],Table2[Delivery SLA (Days)],"NA",0)</f>
        <v>7</v>
      </c>
      <c r="P1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5" spans="1:16" x14ac:dyDescent="0.2">
      <c r="A115" t="s">
        <v>140</v>
      </c>
      <c r="B115" t="s">
        <v>47</v>
      </c>
      <c r="C115">
        <v>6</v>
      </c>
      <c r="D115">
        <v>4</v>
      </c>
      <c r="E115" t="s">
        <v>13</v>
      </c>
      <c r="F115">
        <v>50.74</v>
      </c>
      <c r="G115">
        <v>38</v>
      </c>
      <c r="H115" t="s">
        <v>20</v>
      </c>
      <c r="I115" t="s">
        <v>13</v>
      </c>
      <c r="J115" t="s">
        <v>20</v>
      </c>
      <c r="K115">
        <v>50.74</v>
      </c>
      <c r="L115" t="s">
        <v>16</v>
      </c>
      <c r="M115" t="s">
        <v>16</v>
      </c>
      <c r="N115" t="s">
        <v>923</v>
      </c>
      <c r="O115">
        <f>_xlfn.XLOOKUP(customer_satisfaction_cleaned[[#This Row],[Product Category]],Table2[Product Category],Table2[Delivery SLA (Days)],"NA",0)</f>
        <v>7</v>
      </c>
      <c r="P1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6" spans="1:16" x14ac:dyDescent="0.2">
      <c r="A116" t="s">
        <v>141</v>
      </c>
      <c r="B116" t="s">
        <v>23</v>
      </c>
      <c r="C116">
        <v>9</v>
      </c>
      <c r="D116">
        <v>0</v>
      </c>
      <c r="E116" t="s">
        <v>21</v>
      </c>
      <c r="F116">
        <v>108.03</v>
      </c>
      <c r="G116">
        <v>16</v>
      </c>
      <c r="H116" t="s">
        <v>34</v>
      </c>
      <c r="I116" t="s">
        <v>21</v>
      </c>
      <c r="J116" t="s">
        <v>25</v>
      </c>
      <c r="K116">
        <v>108.03</v>
      </c>
      <c r="L116" t="s">
        <v>16</v>
      </c>
      <c r="M116" t="s">
        <v>16</v>
      </c>
      <c r="N116" t="s">
        <v>924</v>
      </c>
      <c r="O116">
        <f>_xlfn.XLOOKUP(customer_satisfaction_cleaned[[#This Row],[Product Category]],Table2[Product Category],Table2[Delivery SLA (Days)],"NA",0)</f>
        <v>7</v>
      </c>
      <c r="P1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7" spans="1:16" x14ac:dyDescent="0.2">
      <c r="A117" t="s">
        <v>142</v>
      </c>
      <c r="B117" t="s">
        <v>23</v>
      </c>
      <c r="C117">
        <v>9</v>
      </c>
      <c r="D117">
        <v>8</v>
      </c>
      <c r="E117" t="s">
        <v>19</v>
      </c>
      <c r="F117">
        <v>100.44</v>
      </c>
      <c r="G117">
        <v>14</v>
      </c>
      <c r="H117" t="s">
        <v>20</v>
      </c>
      <c r="I117" t="s">
        <v>21</v>
      </c>
      <c r="J117" t="s">
        <v>20</v>
      </c>
      <c r="K117">
        <v>100.44</v>
      </c>
      <c r="L117" t="s">
        <v>16</v>
      </c>
      <c r="M117" t="s">
        <v>16</v>
      </c>
      <c r="N117" t="s">
        <v>926</v>
      </c>
      <c r="O117">
        <f>_xlfn.XLOOKUP(customer_satisfaction_cleaned[[#This Row],[Product Category]],Table2[Product Category],Table2[Delivery SLA (Days)],"NA",0)</f>
        <v>7</v>
      </c>
      <c r="P1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18" spans="1:16" x14ac:dyDescent="0.2">
      <c r="A118" t="s">
        <v>143</v>
      </c>
      <c r="B118" t="s">
        <v>47</v>
      </c>
      <c r="C118">
        <v>6</v>
      </c>
      <c r="D118">
        <v>6</v>
      </c>
      <c r="E118" t="s">
        <v>19</v>
      </c>
      <c r="F118">
        <v>62.11</v>
      </c>
      <c r="G118">
        <v>26</v>
      </c>
      <c r="H118" t="s">
        <v>20</v>
      </c>
      <c r="I118" t="s">
        <v>21</v>
      </c>
      <c r="J118" t="s">
        <v>20</v>
      </c>
      <c r="K118">
        <v>62.11</v>
      </c>
      <c r="L118" t="s">
        <v>16</v>
      </c>
      <c r="M118" t="s">
        <v>16</v>
      </c>
      <c r="N118" t="s">
        <v>924</v>
      </c>
      <c r="O118">
        <f>_xlfn.XLOOKUP(customer_satisfaction_cleaned[[#This Row],[Product Category]],Table2[Product Category],Table2[Delivery SLA (Days)],"NA",0)</f>
        <v>7</v>
      </c>
      <c r="P1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9" spans="1:16" x14ac:dyDescent="0.2">
      <c r="A119" t="s">
        <v>17</v>
      </c>
      <c r="B119" t="s">
        <v>18</v>
      </c>
      <c r="C119">
        <v>10</v>
      </c>
      <c r="D119">
        <v>4</v>
      </c>
      <c r="E119" t="s">
        <v>29</v>
      </c>
      <c r="F119">
        <v>162.74</v>
      </c>
      <c r="G119">
        <v>59</v>
      </c>
      <c r="H119" t="s">
        <v>20</v>
      </c>
      <c r="I119" t="s">
        <v>25</v>
      </c>
      <c r="J119" t="s">
        <v>20</v>
      </c>
      <c r="K119">
        <v>162.74</v>
      </c>
      <c r="L119" t="s">
        <v>16</v>
      </c>
      <c r="M119" t="s">
        <v>16</v>
      </c>
      <c r="N119" t="s">
        <v>923</v>
      </c>
      <c r="O119">
        <f>_xlfn.XLOOKUP(customer_satisfaction_cleaned[[#This Row],[Product Category]],Table2[Product Category],Table2[Delivery SLA (Days)],"NA",0)</f>
        <v>10</v>
      </c>
      <c r="P1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0" spans="1:16" x14ac:dyDescent="0.2">
      <c r="A120" t="s">
        <v>144</v>
      </c>
      <c r="B120" t="s">
        <v>36</v>
      </c>
      <c r="C120">
        <v>8</v>
      </c>
      <c r="D120">
        <v>7</v>
      </c>
      <c r="E120" t="s">
        <v>19</v>
      </c>
      <c r="F120">
        <v>128.97</v>
      </c>
      <c r="G120">
        <v>31</v>
      </c>
      <c r="H120" t="s">
        <v>20</v>
      </c>
      <c r="I120" t="s">
        <v>21</v>
      </c>
      <c r="J120" t="s">
        <v>20</v>
      </c>
      <c r="K120">
        <v>128.97</v>
      </c>
      <c r="L120" t="s">
        <v>16</v>
      </c>
      <c r="M120" t="s">
        <v>16</v>
      </c>
      <c r="N120" t="s">
        <v>923</v>
      </c>
      <c r="O120" t="str">
        <f>_xlfn.XLOOKUP(customer_satisfaction_cleaned[[#This Row],[Product Category]],Table2[Product Category],Table2[Delivery SLA (Days)],"NA",0)</f>
        <v>NA</v>
      </c>
      <c r="P1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21" spans="1:16" x14ac:dyDescent="0.2">
      <c r="A121" t="s">
        <v>145</v>
      </c>
      <c r="B121" t="s">
        <v>23</v>
      </c>
      <c r="C121">
        <v>9</v>
      </c>
      <c r="D121">
        <v>9</v>
      </c>
      <c r="E121" t="s">
        <v>34</v>
      </c>
      <c r="F121">
        <v>8440</v>
      </c>
      <c r="G121">
        <v>30</v>
      </c>
      <c r="H121" t="s">
        <v>24</v>
      </c>
      <c r="I121" t="s">
        <v>25</v>
      </c>
      <c r="J121" t="s">
        <v>25</v>
      </c>
      <c r="K121">
        <v>8440</v>
      </c>
      <c r="L121" t="s">
        <v>16</v>
      </c>
      <c r="M121" t="s">
        <v>16</v>
      </c>
      <c r="N121" t="s">
        <v>923</v>
      </c>
      <c r="O121">
        <f>_xlfn.XLOOKUP(customer_satisfaction_cleaned[[#This Row],[Product Category]],Table2[Product Category],Table2[Delivery SLA (Days)],"NA",0)</f>
        <v>7</v>
      </c>
      <c r="P1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22" spans="1:16" x14ac:dyDescent="0.2">
      <c r="A122" t="s">
        <v>146</v>
      </c>
      <c r="B122" t="s">
        <v>12</v>
      </c>
      <c r="C122">
        <v>7</v>
      </c>
      <c r="D122">
        <v>3</v>
      </c>
      <c r="E122" t="s">
        <v>19</v>
      </c>
      <c r="F122">
        <v>104.71</v>
      </c>
      <c r="H122" t="s">
        <v>42</v>
      </c>
      <c r="I122" t="s">
        <v>21</v>
      </c>
      <c r="J122" t="s">
        <v>25</v>
      </c>
      <c r="K122">
        <v>104.71</v>
      </c>
      <c r="L122" t="s">
        <v>16</v>
      </c>
      <c r="M122" t="s">
        <v>16</v>
      </c>
      <c r="N122" t="s">
        <v>922</v>
      </c>
      <c r="O122">
        <f>_xlfn.XLOOKUP(customer_satisfaction_cleaned[[#This Row],[Product Category]],Table2[Product Category],Table2[Delivery SLA (Days)],"NA",0)</f>
        <v>5</v>
      </c>
      <c r="P1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3" spans="1:16" x14ac:dyDescent="0.2">
      <c r="A123" t="s">
        <v>147</v>
      </c>
      <c r="B123" t="s">
        <v>47</v>
      </c>
      <c r="C123">
        <v>8</v>
      </c>
      <c r="D123">
        <v>4</v>
      </c>
      <c r="E123" t="s">
        <v>29</v>
      </c>
      <c r="F123">
        <v>108.85</v>
      </c>
      <c r="H123" t="s">
        <v>15</v>
      </c>
      <c r="I123" t="s">
        <v>25</v>
      </c>
      <c r="J123" t="s">
        <v>15</v>
      </c>
      <c r="K123">
        <v>108.85</v>
      </c>
      <c r="L123" t="s">
        <v>16</v>
      </c>
      <c r="M123" t="s">
        <v>16</v>
      </c>
      <c r="N123" t="s">
        <v>922</v>
      </c>
      <c r="O123">
        <f>_xlfn.XLOOKUP(customer_satisfaction_cleaned[[#This Row],[Product Category]],Table2[Product Category],Table2[Delivery SLA (Days)],"NA",0)</f>
        <v>7</v>
      </c>
      <c r="P1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4" spans="1:16" x14ac:dyDescent="0.2">
      <c r="A124" t="s">
        <v>148</v>
      </c>
      <c r="B124" t="s">
        <v>47</v>
      </c>
      <c r="C124">
        <v>9</v>
      </c>
      <c r="D124">
        <v>5</v>
      </c>
      <c r="E124" t="s">
        <v>21</v>
      </c>
      <c r="F124">
        <v>160.51</v>
      </c>
      <c r="G124">
        <v>37</v>
      </c>
      <c r="H124" t="s">
        <v>15</v>
      </c>
      <c r="I124" t="s">
        <v>21</v>
      </c>
      <c r="J124" t="s">
        <v>15</v>
      </c>
      <c r="K124">
        <v>160.51</v>
      </c>
      <c r="L124" t="s">
        <v>16</v>
      </c>
      <c r="M124" t="s">
        <v>16</v>
      </c>
      <c r="N124" t="s">
        <v>923</v>
      </c>
      <c r="O124">
        <f>_xlfn.XLOOKUP(customer_satisfaction_cleaned[[#This Row],[Product Category]],Table2[Product Category],Table2[Delivery SLA (Days)],"NA",0)</f>
        <v>7</v>
      </c>
      <c r="P1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5" spans="1:16" x14ac:dyDescent="0.2">
      <c r="A125" t="s">
        <v>149</v>
      </c>
      <c r="B125" t="s">
        <v>18</v>
      </c>
      <c r="C125">
        <v>5</v>
      </c>
      <c r="D125">
        <v>5</v>
      </c>
      <c r="E125" t="s">
        <v>13</v>
      </c>
      <c r="F125">
        <v>121.16</v>
      </c>
      <c r="G125">
        <v>26</v>
      </c>
      <c r="H125" t="s">
        <v>29</v>
      </c>
      <c r="I125" t="s">
        <v>13</v>
      </c>
      <c r="J125" t="s">
        <v>25</v>
      </c>
      <c r="K125">
        <v>121.16</v>
      </c>
      <c r="L125" t="s">
        <v>16</v>
      </c>
      <c r="M125" t="s">
        <v>16</v>
      </c>
      <c r="N125" t="s">
        <v>924</v>
      </c>
      <c r="O125">
        <f>_xlfn.XLOOKUP(customer_satisfaction_cleaned[[#This Row],[Product Category]],Table2[Product Category],Table2[Delivery SLA (Days)],"NA",0)</f>
        <v>10</v>
      </c>
      <c r="P1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6" spans="1:16" x14ac:dyDescent="0.2">
      <c r="A126" t="s">
        <v>150</v>
      </c>
      <c r="B126" t="s">
        <v>23</v>
      </c>
      <c r="C126">
        <v>6</v>
      </c>
      <c r="D126">
        <v>6</v>
      </c>
      <c r="E126" t="s">
        <v>13</v>
      </c>
      <c r="F126">
        <v>117.22</v>
      </c>
      <c r="G126">
        <v>19</v>
      </c>
      <c r="H126" t="s">
        <v>15</v>
      </c>
      <c r="I126" t="s">
        <v>13</v>
      </c>
      <c r="J126" t="s">
        <v>15</v>
      </c>
      <c r="K126">
        <v>117.22</v>
      </c>
      <c r="L126" t="s">
        <v>16</v>
      </c>
      <c r="M126" t="s">
        <v>16</v>
      </c>
      <c r="N126" t="s">
        <v>924</v>
      </c>
      <c r="O126">
        <f>_xlfn.XLOOKUP(customer_satisfaction_cleaned[[#This Row],[Product Category]],Table2[Product Category],Table2[Delivery SLA (Days)],"NA",0)</f>
        <v>7</v>
      </c>
      <c r="P1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7" spans="1:16" x14ac:dyDescent="0.2">
      <c r="A127" t="s">
        <v>151</v>
      </c>
      <c r="B127" t="s">
        <v>23</v>
      </c>
      <c r="C127">
        <v>10</v>
      </c>
      <c r="D127">
        <v>6</v>
      </c>
      <c r="E127" t="s">
        <v>29</v>
      </c>
      <c r="F127">
        <v>76.31</v>
      </c>
      <c r="G127">
        <v>55</v>
      </c>
      <c r="H127" t="s">
        <v>15</v>
      </c>
      <c r="I127" t="s">
        <v>25</v>
      </c>
      <c r="J127" t="s">
        <v>15</v>
      </c>
      <c r="K127">
        <v>76.31</v>
      </c>
      <c r="L127" t="s">
        <v>16</v>
      </c>
      <c r="M127" t="s">
        <v>16</v>
      </c>
      <c r="N127" t="s">
        <v>923</v>
      </c>
      <c r="O127">
        <f>_xlfn.XLOOKUP(customer_satisfaction_cleaned[[#This Row],[Product Category]],Table2[Product Category],Table2[Delivery SLA (Days)],"NA",0)</f>
        <v>7</v>
      </c>
      <c r="P1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8" spans="1:16" x14ac:dyDescent="0.2">
      <c r="A128" t="s">
        <v>152</v>
      </c>
      <c r="B128" t="s">
        <v>23</v>
      </c>
      <c r="C128">
        <v>10</v>
      </c>
      <c r="D128">
        <v>4</v>
      </c>
      <c r="E128" t="s">
        <v>32</v>
      </c>
      <c r="F128">
        <v>107.09</v>
      </c>
      <c r="G128">
        <v>29</v>
      </c>
      <c r="H128" t="s">
        <v>14</v>
      </c>
      <c r="I128" t="s">
        <v>13</v>
      </c>
      <c r="J128" t="s">
        <v>15</v>
      </c>
      <c r="K128">
        <v>107.09</v>
      </c>
      <c r="L128" t="s">
        <v>16</v>
      </c>
      <c r="M128" t="s">
        <v>16</v>
      </c>
      <c r="N128" t="s">
        <v>924</v>
      </c>
      <c r="O128">
        <f>_xlfn.XLOOKUP(customer_satisfaction_cleaned[[#This Row],[Product Category]],Table2[Product Category],Table2[Delivery SLA (Days)],"NA",0)</f>
        <v>7</v>
      </c>
      <c r="P1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9" spans="1:16" x14ac:dyDescent="0.2">
      <c r="A129" t="s">
        <v>153</v>
      </c>
      <c r="B129" t="s">
        <v>12</v>
      </c>
      <c r="C129">
        <v>9</v>
      </c>
      <c r="D129">
        <v>4</v>
      </c>
      <c r="E129" t="s">
        <v>34</v>
      </c>
      <c r="F129">
        <v>17091</v>
      </c>
      <c r="G129">
        <v>46</v>
      </c>
      <c r="H129" t="s">
        <v>42</v>
      </c>
      <c r="I129" t="s">
        <v>25</v>
      </c>
      <c r="J129" t="s">
        <v>25</v>
      </c>
      <c r="K129">
        <v>17091</v>
      </c>
      <c r="L129" t="s">
        <v>16</v>
      </c>
      <c r="M129" t="s">
        <v>16</v>
      </c>
      <c r="N129" t="s">
        <v>923</v>
      </c>
      <c r="O129">
        <f>_xlfn.XLOOKUP(customer_satisfaction_cleaned[[#This Row],[Product Category]],Table2[Product Category],Table2[Delivery SLA (Days)],"NA",0)</f>
        <v>5</v>
      </c>
      <c r="P1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30" spans="1:16" x14ac:dyDescent="0.2">
      <c r="A130" t="s">
        <v>154</v>
      </c>
      <c r="B130" t="s">
        <v>12</v>
      </c>
      <c r="C130">
        <v>7</v>
      </c>
      <c r="D130">
        <v>4</v>
      </c>
      <c r="E130" t="s">
        <v>21</v>
      </c>
      <c r="F130">
        <v>176.76</v>
      </c>
      <c r="G130">
        <v>11</v>
      </c>
      <c r="H130" t="s">
        <v>42</v>
      </c>
      <c r="I130" t="s">
        <v>21</v>
      </c>
      <c r="J130" t="s">
        <v>25</v>
      </c>
      <c r="K130">
        <v>176.76</v>
      </c>
      <c r="L130" t="s">
        <v>16</v>
      </c>
      <c r="M130" t="s">
        <v>16</v>
      </c>
      <c r="N130" t="s">
        <v>926</v>
      </c>
      <c r="O130">
        <f>_xlfn.XLOOKUP(customer_satisfaction_cleaned[[#This Row],[Product Category]],Table2[Product Category],Table2[Delivery SLA (Days)],"NA",0)</f>
        <v>5</v>
      </c>
      <c r="P1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31" spans="1:16" x14ac:dyDescent="0.2">
      <c r="A131" t="s">
        <v>155</v>
      </c>
      <c r="B131" t="s">
        <v>12</v>
      </c>
      <c r="C131">
        <v>8</v>
      </c>
      <c r="D131">
        <v>7</v>
      </c>
      <c r="E131" t="s">
        <v>21</v>
      </c>
      <c r="F131">
        <v>85.33</v>
      </c>
      <c r="G131">
        <v>33</v>
      </c>
      <c r="H131" t="s">
        <v>44</v>
      </c>
      <c r="I131" t="s">
        <v>21</v>
      </c>
      <c r="J131" t="s">
        <v>20</v>
      </c>
      <c r="K131">
        <v>85.33</v>
      </c>
      <c r="L131" t="s">
        <v>16</v>
      </c>
      <c r="M131" t="s">
        <v>16</v>
      </c>
      <c r="N131" t="s">
        <v>923</v>
      </c>
      <c r="O131">
        <f>_xlfn.XLOOKUP(customer_satisfaction_cleaned[[#This Row],[Product Category]],Table2[Product Category],Table2[Delivery SLA (Days)],"NA",0)</f>
        <v>5</v>
      </c>
      <c r="P1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32" spans="1:16" x14ac:dyDescent="0.2">
      <c r="A132" t="s">
        <v>156</v>
      </c>
      <c r="B132" t="s">
        <v>23</v>
      </c>
      <c r="C132">
        <v>10</v>
      </c>
      <c r="D132">
        <v>9</v>
      </c>
      <c r="E132" t="s">
        <v>32</v>
      </c>
      <c r="F132">
        <v>165.4</v>
      </c>
      <c r="G132">
        <v>36</v>
      </c>
      <c r="H132" t="s">
        <v>15</v>
      </c>
      <c r="I132" t="s">
        <v>13</v>
      </c>
      <c r="J132" t="s">
        <v>15</v>
      </c>
      <c r="K132">
        <v>165.4</v>
      </c>
      <c r="L132" t="s">
        <v>16</v>
      </c>
      <c r="M132" t="s">
        <v>16</v>
      </c>
      <c r="N132" t="s">
        <v>923</v>
      </c>
      <c r="O132">
        <f>_xlfn.XLOOKUP(customer_satisfaction_cleaned[[#This Row],[Product Category]],Table2[Product Category],Table2[Delivery SLA (Days)],"NA",0)</f>
        <v>7</v>
      </c>
      <c r="P1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33" spans="1:16" x14ac:dyDescent="0.2">
      <c r="A133" t="s">
        <v>157</v>
      </c>
      <c r="B133" t="s">
        <v>23</v>
      </c>
      <c r="C133">
        <v>6</v>
      </c>
      <c r="D133">
        <v>6</v>
      </c>
      <c r="E133" t="s">
        <v>21</v>
      </c>
      <c r="F133">
        <v>58.11</v>
      </c>
      <c r="G133">
        <v>49</v>
      </c>
      <c r="H133" t="s">
        <v>14</v>
      </c>
      <c r="I133" t="s">
        <v>21</v>
      </c>
      <c r="J133" t="s">
        <v>15</v>
      </c>
      <c r="K133">
        <v>58.11</v>
      </c>
      <c r="L133" t="s">
        <v>16</v>
      </c>
      <c r="M133" t="s">
        <v>16</v>
      </c>
      <c r="N133" t="s">
        <v>923</v>
      </c>
      <c r="O133">
        <f>_xlfn.XLOOKUP(customer_satisfaction_cleaned[[#This Row],[Product Category]],Table2[Product Category],Table2[Delivery SLA (Days)],"NA",0)</f>
        <v>7</v>
      </c>
      <c r="P1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34" spans="1:16" x14ac:dyDescent="0.2">
      <c r="A134" t="s">
        <v>158</v>
      </c>
      <c r="B134" t="s">
        <v>12</v>
      </c>
      <c r="C134">
        <v>5</v>
      </c>
      <c r="D134">
        <v>8</v>
      </c>
      <c r="E134" t="s">
        <v>29</v>
      </c>
      <c r="F134">
        <v>71.92</v>
      </c>
      <c r="G134">
        <v>47</v>
      </c>
      <c r="H134" t="s">
        <v>14</v>
      </c>
      <c r="I134" t="s">
        <v>25</v>
      </c>
      <c r="J134" t="s">
        <v>15</v>
      </c>
      <c r="K134">
        <v>71.92</v>
      </c>
      <c r="L134" t="s">
        <v>16</v>
      </c>
      <c r="M134" t="s">
        <v>16</v>
      </c>
      <c r="N134" t="s">
        <v>923</v>
      </c>
      <c r="O134">
        <f>_xlfn.XLOOKUP(customer_satisfaction_cleaned[[#This Row],[Product Category]],Table2[Product Category],Table2[Delivery SLA (Days)],"NA",0)</f>
        <v>5</v>
      </c>
      <c r="P1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35" spans="1:16" x14ac:dyDescent="0.2">
      <c r="A135" t="s">
        <v>159</v>
      </c>
      <c r="B135" t="s">
        <v>47</v>
      </c>
      <c r="C135">
        <v>8</v>
      </c>
      <c r="D135">
        <v>5</v>
      </c>
      <c r="E135" t="s">
        <v>21</v>
      </c>
      <c r="F135">
        <v>122.54</v>
      </c>
      <c r="G135">
        <v>35</v>
      </c>
      <c r="H135" t="s">
        <v>44</v>
      </c>
      <c r="I135" t="s">
        <v>21</v>
      </c>
      <c r="J135" t="s">
        <v>20</v>
      </c>
      <c r="K135">
        <v>122.54</v>
      </c>
      <c r="L135" t="s">
        <v>16</v>
      </c>
      <c r="M135" t="s">
        <v>16</v>
      </c>
      <c r="N135" t="s">
        <v>923</v>
      </c>
      <c r="O135">
        <f>_xlfn.XLOOKUP(customer_satisfaction_cleaned[[#This Row],[Product Category]],Table2[Product Category],Table2[Delivery SLA (Days)],"NA",0)</f>
        <v>7</v>
      </c>
      <c r="P1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36" spans="1:16" x14ac:dyDescent="0.2">
      <c r="A136" t="s">
        <v>160</v>
      </c>
      <c r="B136" t="s">
        <v>36</v>
      </c>
      <c r="C136">
        <v>7</v>
      </c>
      <c r="D136">
        <v>4</v>
      </c>
      <c r="E136" t="s">
        <v>19</v>
      </c>
      <c r="F136">
        <v>122.18</v>
      </c>
      <c r="G136">
        <v>38</v>
      </c>
      <c r="H136" t="s">
        <v>15</v>
      </c>
      <c r="I136" t="s">
        <v>21</v>
      </c>
      <c r="J136" t="s">
        <v>15</v>
      </c>
      <c r="K136">
        <v>122.18</v>
      </c>
      <c r="L136" t="s">
        <v>16</v>
      </c>
      <c r="M136" t="s">
        <v>16</v>
      </c>
      <c r="N136" t="s">
        <v>923</v>
      </c>
      <c r="O136" t="str">
        <f>_xlfn.XLOOKUP(customer_satisfaction_cleaned[[#This Row],[Product Category]],Table2[Product Category],Table2[Delivery SLA (Days)],"NA",0)</f>
        <v>NA</v>
      </c>
      <c r="P1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37" spans="1:16" x14ac:dyDescent="0.2">
      <c r="A137" t="s">
        <v>161</v>
      </c>
      <c r="B137" t="s">
        <v>12</v>
      </c>
      <c r="C137">
        <v>10</v>
      </c>
      <c r="D137">
        <v>7</v>
      </c>
      <c r="E137" t="s">
        <v>21</v>
      </c>
      <c r="F137">
        <v>117.25</v>
      </c>
      <c r="G137">
        <v>41</v>
      </c>
      <c r="H137" t="s">
        <v>42</v>
      </c>
      <c r="I137" t="s">
        <v>21</v>
      </c>
      <c r="J137" t="s">
        <v>25</v>
      </c>
      <c r="K137">
        <v>117.25</v>
      </c>
      <c r="L137" t="s">
        <v>16</v>
      </c>
      <c r="M137" t="s">
        <v>16</v>
      </c>
      <c r="N137" t="s">
        <v>923</v>
      </c>
      <c r="O137">
        <f>_xlfn.XLOOKUP(customer_satisfaction_cleaned[[#This Row],[Product Category]],Table2[Product Category],Table2[Delivery SLA (Days)],"NA",0)</f>
        <v>5</v>
      </c>
      <c r="P1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38" spans="1:16" x14ac:dyDescent="0.2">
      <c r="A138" t="s">
        <v>162</v>
      </c>
      <c r="B138" t="s">
        <v>18</v>
      </c>
      <c r="C138">
        <v>7</v>
      </c>
      <c r="D138">
        <v>5</v>
      </c>
      <c r="E138" t="s">
        <v>13</v>
      </c>
      <c r="F138">
        <v>142.97</v>
      </c>
      <c r="G138">
        <v>41</v>
      </c>
      <c r="H138" t="s">
        <v>15</v>
      </c>
      <c r="I138" t="s">
        <v>13</v>
      </c>
      <c r="J138" t="s">
        <v>15</v>
      </c>
      <c r="K138">
        <v>142.97</v>
      </c>
      <c r="L138" t="s">
        <v>16</v>
      </c>
      <c r="M138" t="s">
        <v>16</v>
      </c>
      <c r="N138" t="s">
        <v>923</v>
      </c>
      <c r="O138">
        <f>_xlfn.XLOOKUP(customer_satisfaction_cleaned[[#This Row],[Product Category]],Table2[Product Category],Table2[Delivery SLA (Days)],"NA",0)</f>
        <v>10</v>
      </c>
      <c r="P1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39" spans="1:16" x14ac:dyDescent="0.2">
      <c r="A139" t="s">
        <v>163</v>
      </c>
      <c r="B139" t="s">
        <v>18</v>
      </c>
      <c r="C139">
        <v>8</v>
      </c>
      <c r="D139">
        <v>5</v>
      </c>
      <c r="E139" t="s">
        <v>19</v>
      </c>
      <c r="F139">
        <v>184.9</v>
      </c>
      <c r="G139">
        <v>7</v>
      </c>
      <c r="H139" t="s">
        <v>29</v>
      </c>
      <c r="I139" t="s">
        <v>21</v>
      </c>
      <c r="J139" t="s">
        <v>25</v>
      </c>
      <c r="K139">
        <v>184.9</v>
      </c>
      <c r="L139" t="s">
        <v>16</v>
      </c>
      <c r="M139" t="s">
        <v>16</v>
      </c>
      <c r="N139" t="s">
        <v>926</v>
      </c>
      <c r="O139">
        <f>_xlfn.XLOOKUP(customer_satisfaction_cleaned[[#This Row],[Product Category]],Table2[Product Category],Table2[Delivery SLA (Days)],"NA",0)</f>
        <v>10</v>
      </c>
      <c r="P1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0" spans="1:16" x14ac:dyDescent="0.2">
      <c r="A140" t="s">
        <v>164</v>
      </c>
      <c r="B140" t="s">
        <v>12</v>
      </c>
      <c r="C140">
        <v>12</v>
      </c>
      <c r="D140">
        <v>5</v>
      </c>
      <c r="E140" t="s">
        <v>13</v>
      </c>
      <c r="F140">
        <v>29.1</v>
      </c>
      <c r="H140" t="s">
        <v>14</v>
      </c>
      <c r="I140" t="s">
        <v>13</v>
      </c>
      <c r="J140" t="s">
        <v>15</v>
      </c>
      <c r="K140">
        <v>29.1</v>
      </c>
      <c r="L140" t="s">
        <v>16</v>
      </c>
      <c r="M140" t="s">
        <v>16</v>
      </c>
      <c r="N140" t="s">
        <v>922</v>
      </c>
      <c r="O140">
        <f>_xlfn.XLOOKUP(customer_satisfaction_cleaned[[#This Row],[Product Category]],Table2[Product Category],Table2[Delivery SLA (Days)],"NA",0)</f>
        <v>5</v>
      </c>
      <c r="P1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1" spans="1:16" x14ac:dyDescent="0.2">
      <c r="A141" t="s">
        <v>165</v>
      </c>
      <c r="B141" t="s">
        <v>47</v>
      </c>
      <c r="C141">
        <v>5</v>
      </c>
      <c r="E141" t="s">
        <v>21</v>
      </c>
      <c r="F141">
        <v>59.59</v>
      </c>
      <c r="G141">
        <v>51</v>
      </c>
      <c r="H141" t="s">
        <v>24</v>
      </c>
      <c r="I141" t="s">
        <v>21</v>
      </c>
      <c r="J141" t="s">
        <v>25</v>
      </c>
      <c r="K141">
        <v>59.59</v>
      </c>
      <c r="L141" t="s">
        <v>16</v>
      </c>
      <c r="M141" t="s">
        <v>937</v>
      </c>
      <c r="N141" t="s">
        <v>923</v>
      </c>
      <c r="O141">
        <f>_xlfn.XLOOKUP(customer_satisfaction_cleaned[[#This Row],[Product Category]],Table2[Product Category],Table2[Delivery SLA (Days)],"NA",0)</f>
        <v>7</v>
      </c>
      <c r="P1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42" spans="1:16" x14ac:dyDescent="0.2">
      <c r="A142" t="s">
        <v>166</v>
      </c>
      <c r="B142" t="s">
        <v>47</v>
      </c>
      <c r="C142">
        <v>2</v>
      </c>
      <c r="D142">
        <v>3</v>
      </c>
      <c r="E142" t="s">
        <v>19</v>
      </c>
      <c r="F142">
        <v>74.930000000000007</v>
      </c>
      <c r="G142">
        <v>45</v>
      </c>
      <c r="H142" t="s">
        <v>42</v>
      </c>
      <c r="I142" t="s">
        <v>21</v>
      </c>
      <c r="J142" t="s">
        <v>25</v>
      </c>
      <c r="K142">
        <v>74.930000000000007</v>
      </c>
      <c r="L142" t="s">
        <v>16</v>
      </c>
      <c r="M142" t="s">
        <v>16</v>
      </c>
      <c r="N142" t="s">
        <v>923</v>
      </c>
      <c r="O142">
        <f>_xlfn.XLOOKUP(customer_satisfaction_cleaned[[#This Row],[Product Category]],Table2[Product Category],Table2[Delivery SLA (Days)],"NA",0)</f>
        <v>7</v>
      </c>
      <c r="P1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3" spans="1:16" x14ac:dyDescent="0.2">
      <c r="A143" t="s">
        <v>167</v>
      </c>
      <c r="B143" t="s">
        <v>36</v>
      </c>
      <c r="C143">
        <v>6</v>
      </c>
      <c r="D143">
        <v>3</v>
      </c>
      <c r="E143" t="s">
        <v>32</v>
      </c>
      <c r="F143">
        <v>160.12</v>
      </c>
      <c r="G143">
        <v>27</v>
      </c>
      <c r="H143" t="s">
        <v>14</v>
      </c>
      <c r="I143" t="s">
        <v>13</v>
      </c>
      <c r="J143" t="s">
        <v>15</v>
      </c>
      <c r="K143">
        <v>160.12</v>
      </c>
      <c r="L143" t="s">
        <v>16</v>
      </c>
      <c r="M143" t="s">
        <v>16</v>
      </c>
      <c r="N143" t="s">
        <v>924</v>
      </c>
      <c r="O143" t="str">
        <f>_xlfn.XLOOKUP(customer_satisfaction_cleaned[[#This Row],[Product Category]],Table2[Product Category],Table2[Delivery SLA (Days)],"NA",0)</f>
        <v>NA</v>
      </c>
      <c r="P1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44" spans="1:16" x14ac:dyDescent="0.2">
      <c r="A144" t="s">
        <v>168</v>
      </c>
      <c r="B144" t="s">
        <v>23</v>
      </c>
      <c r="C144">
        <v>10</v>
      </c>
      <c r="D144">
        <v>8</v>
      </c>
      <c r="E144" t="s">
        <v>34</v>
      </c>
      <c r="F144">
        <v>76.2</v>
      </c>
      <c r="G144">
        <v>47</v>
      </c>
      <c r="H144" t="s">
        <v>24</v>
      </c>
      <c r="I144" t="s">
        <v>25</v>
      </c>
      <c r="J144" t="s">
        <v>25</v>
      </c>
      <c r="K144">
        <v>76.2</v>
      </c>
      <c r="L144" t="s">
        <v>16</v>
      </c>
      <c r="M144" t="s">
        <v>16</v>
      </c>
      <c r="N144" t="s">
        <v>923</v>
      </c>
      <c r="O144">
        <f>_xlfn.XLOOKUP(customer_satisfaction_cleaned[[#This Row],[Product Category]],Table2[Product Category],Table2[Delivery SLA (Days)],"NA",0)</f>
        <v>7</v>
      </c>
      <c r="P1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45" spans="1:16" x14ac:dyDescent="0.2">
      <c r="A145" t="s">
        <v>169</v>
      </c>
      <c r="B145" t="s">
        <v>12</v>
      </c>
      <c r="C145">
        <v>4</v>
      </c>
      <c r="D145">
        <v>3</v>
      </c>
      <c r="E145" t="s">
        <v>34</v>
      </c>
      <c r="F145">
        <v>106.14</v>
      </c>
      <c r="G145">
        <v>72</v>
      </c>
      <c r="H145" t="s">
        <v>24</v>
      </c>
      <c r="I145" t="s">
        <v>25</v>
      </c>
      <c r="J145" t="s">
        <v>25</v>
      </c>
      <c r="K145">
        <v>106.14</v>
      </c>
      <c r="L145" t="s">
        <v>16</v>
      </c>
      <c r="M145" t="s">
        <v>16</v>
      </c>
      <c r="N145" t="s">
        <v>925</v>
      </c>
      <c r="O145">
        <f>_xlfn.XLOOKUP(customer_satisfaction_cleaned[[#This Row],[Product Category]],Table2[Product Category],Table2[Delivery SLA (Days)],"NA",0)</f>
        <v>5</v>
      </c>
      <c r="P1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6" spans="1:16" x14ac:dyDescent="0.2">
      <c r="A146" t="s">
        <v>170</v>
      </c>
      <c r="B146" t="s">
        <v>18</v>
      </c>
      <c r="C146">
        <v>4</v>
      </c>
      <c r="D146">
        <v>3</v>
      </c>
      <c r="E146" t="s">
        <v>21</v>
      </c>
      <c r="F146">
        <v>20.56</v>
      </c>
      <c r="G146">
        <v>58</v>
      </c>
      <c r="H146" t="s">
        <v>15</v>
      </c>
      <c r="I146" t="s">
        <v>21</v>
      </c>
      <c r="J146" t="s">
        <v>15</v>
      </c>
      <c r="K146">
        <v>20.56</v>
      </c>
      <c r="L146" t="s">
        <v>16</v>
      </c>
      <c r="M146" t="s">
        <v>16</v>
      </c>
      <c r="N146" t="s">
        <v>923</v>
      </c>
      <c r="O146">
        <f>_xlfn.XLOOKUP(customer_satisfaction_cleaned[[#This Row],[Product Category]],Table2[Product Category],Table2[Delivery SLA (Days)],"NA",0)</f>
        <v>10</v>
      </c>
      <c r="P1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7" spans="1:16" x14ac:dyDescent="0.2">
      <c r="A147" t="s">
        <v>171</v>
      </c>
      <c r="B147" t="s">
        <v>47</v>
      </c>
      <c r="C147">
        <v>7</v>
      </c>
      <c r="D147">
        <v>3</v>
      </c>
      <c r="E147" t="s">
        <v>19</v>
      </c>
      <c r="F147">
        <v>49.39</v>
      </c>
      <c r="G147">
        <v>23</v>
      </c>
      <c r="H147" t="s">
        <v>24</v>
      </c>
      <c r="I147" t="s">
        <v>21</v>
      </c>
      <c r="J147" t="s">
        <v>25</v>
      </c>
      <c r="K147">
        <v>49.39</v>
      </c>
      <c r="L147" t="s">
        <v>16</v>
      </c>
      <c r="M147" t="s">
        <v>16</v>
      </c>
      <c r="N147" t="s">
        <v>924</v>
      </c>
      <c r="O147">
        <f>_xlfn.XLOOKUP(customer_satisfaction_cleaned[[#This Row],[Product Category]],Table2[Product Category],Table2[Delivery SLA (Days)],"NA",0)</f>
        <v>7</v>
      </c>
      <c r="P1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8" spans="1:16" x14ac:dyDescent="0.2">
      <c r="A148" t="s">
        <v>172</v>
      </c>
      <c r="B148" t="s">
        <v>18</v>
      </c>
      <c r="C148">
        <v>8</v>
      </c>
      <c r="D148">
        <v>2</v>
      </c>
      <c r="E148" t="s">
        <v>13</v>
      </c>
      <c r="F148">
        <v>95.72</v>
      </c>
      <c r="G148">
        <v>36</v>
      </c>
      <c r="H148" t="s">
        <v>24</v>
      </c>
      <c r="I148" t="s">
        <v>13</v>
      </c>
      <c r="J148" t="s">
        <v>25</v>
      </c>
      <c r="K148">
        <v>95.72</v>
      </c>
      <c r="L148" t="s">
        <v>16</v>
      </c>
      <c r="M148" t="s">
        <v>16</v>
      </c>
      <c r="N148" t="s">
        <v>923</v>
      </c>
      <c r="O148">
        <f>_xlfn.XLOOKUP(customer_satisfaction_cleaned[[#This Row],[Product Category]],Table2[Product Category],Table2[Delivery SLA (Days)],"NA",0)</f>
        <v>10</v>
      </c>
      <c r="P1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9" spans="1:16" x14ac:dyDescent="0.2">
      <c r="A149" t="s">
        <v>173</v>
      </c>
      <c r="B149" t="s">
        <v>47</v>
      </c>
      <c r="C149">
        <v>6</v>
      </c>
      <c r="D149">
        <v>7</v>
      </c>
      <c r="E149" t="s">
        <v>21</v>
      </c>
      <c r="F149">
        <v>165.74</v>
      </c>
      <c r="G149">
        <v>21</v>
      </c>
      <c r="H149" t="s">
        <v>29</v>
      </c>
      <c r="I149" t="s">
        <v>21</v>
      </c>
      <c r="J149" t="s">
        <v>25</v>
      </c>
      <c r="K149">
        <v>165.74</v>
      </c>
      <c r="L149" t="s">
        <v>16</v>
      </c>
      <c r="M149" t="s">
        <v>16</v>
      </c>
      <c r="N149" t="s">
        <v>924</v>
      </c>
      <c r="O149">
        <f>_xlfn.XLOOKUP(customer_satisfaction_cleaned[[#This Row],[Product Category]],Table2[Product Category],Table2[Delivery SLA (Days)],"NA",0)</f>
        <v>7</v>
      </c>
      <c r="P1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0" spans="1:16" x14ac:dyDescent="0.2">
      <c r="A150" t="s">
        <v>174</v>
      </c>
      <c r="B150" t="s">
        <v>12</v>
      </c>
      <c r="C150">
        <v>6</v>
      </c>
      <c r="D150">
        <v>4</v>
      </c>
      <c r="E150" t="s">
        <v>13</v>
      </c>
      <c r="F150">
        <v>65.64</v>
      </c>
      <c r="G150">
        <v>60</v>
      </c>
      <c r="H150" t="s">
        <v>20</v>
      </c>
      <c r="I150" t="s">
        <v>13</v>
      </c>
      <c r="J150" t="s">
        <v>20</v>
      </c>
      <c r="K150">
        <v>65.64</v>
      </c>
      <c r="L150" t="s">
        <v>16</v>
      </c>
      <c r="M150" t="s">
        <v>16</v>
      </c>
      <c r="N150" t="s">
        <v>925</v>
      </c>
      <c r="O150">
        <f>_xlfn.XLOOKUP(customer_satisfaction_cleaned[[#This Row],[Product Category]],Table2[Product Category],Table2[Delivery SLA (Days)],"NA",0)</f>
        <v>5</v>
      </c>
      <c r="P1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1" spans="1:16" x14ac:dyDescent="0.2">
      <c r="A151" t="s">
        <v>175</v>
      </c>
      <c r="B151" t="s">
        <v>36</v>
      </c>
      <c r="C151">
        <v>8</v>
      </c>
      <c r="E151" t="s">
        <v>34</v>
      </c>
      <c r="F151">
        <v>94.22</v>
      </c>
      <c r="G151">
        <v>1</v>
      </c>
      <c r="H151" t="s">
        <v>24</v>
      </c>
      <c r="I151" t="s">
        <v>25</v>
      </c>
      <c r="J151" t="s">
        <v>25</v>
      </c>
      <c r="K151">
        <v>94.22</v>
      </c>
      <c r="L151" t="s">
        <v>16</v>
      </c>
      <c r="M151" t="s">
        <v>937</v>
      </c>
      <c r="N151" t="s">
        <v>926</v>
      </c>
      <c r="O151" t="str">
        <f>_xlfn.XLOOKUP(customer_satisfaction_cleaned[[#This Row],[Product Category]],Table2[Product Category],Table2[Delivery SLA (Days)],"NA",0)</f>
        <v>NA</v>
      </c>
      <c r="P1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52" spans="1:16" x14ac:dyDescent="0.2">
      <c r="A152" t="s">
        <v>17</v>
      </c>
      <c r="B152" t="s">
        <v>18</v>
      </c>
      <c r="C152">
        <v>5</v>
      </c>
      <c r="D152">
        <v>8</v>
      </c>
      <c r="E152" t="s">
        <v>21</v>
      </c>
      <c r="F152">
        <v>141.33000000000001</v>
      </c>
      <c r="G152">
        <v>22</v>
      </c>
      <c r="H152" t="s">
        <v>20</v>
      </c>
      <c r="I152" t="s">
        <v>21</v>
      </c>
      <c r="J152" t="s">
        <v>20</v>
      </c>
      <c r="K152">
        <v>141.33000000000001</v>
      </c>
      <c r="L152" t="s">
        <v>16</v>
      </c>
      <c r="M152" t="s">
        <v>16</v>
      </c>
      <c r="N152" t="s">
        <v>924</v>
      </c>
      <c r="O152">
        <f>_xlfn.XLOOKUP(customer_satisfaction_cleaned[[#This Row],[Product Category]],Table2[Product Category],Table2[Delivery SLA (Days)],"NA",0)</f>
        <v>10</v>
      </c>
      <c r="P1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3" spans="1:16" x14ac:dyDescent="0.2">
      <c r="A153" t="s">
        <v>176</v>
      </c>
      <c r="B153" t="s">
        <v>18</v>
      </c>
      <c r="C153">
        <v>5</v>
      </c>
      <c r="D153">
        <v>6</v>
      </c>
      <c r="E153" t="s">
        <v>13</v>
      </c>
      <c r="F153">
        <v>33.71</v>
      </c>
      <c r="G153">
        <v>39</v>
      </c>
      <c r="H153" t="s">
        <v>42</v>
      </c>
      <c r="I153" t="s">
        <v>13</v>
      </c>
      <c r="J153" t="s">
        <v>25</v>
      </c>
      <c r="K153">
        <v>33.71</v>
      </c>
      <c r="L153" t="s">
        <v>16</v>
      </c>
      <c r="M153" t="s">
        <v>16</v>
      </c>
      <c r="N153" t="s">
        <v>923</v>
      </c>
      <c r="O153">
        <f>_xlfn.XLOOKUP(customer_satisfaction_cleaned[[#This Row],[Product Category]],Table2[Product Category],Table2[Delivery SLA (Days)],"NA",0)</f>
        <v>10</v>
      </c>
      <c r="P1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4" spans="1:16" x14ac:dyDescent="0.2">
      <c r="A154" t="s">
        <v>177</v>
      </c>
      <c r="B154" t="s">
        <v>47</v>
      </c>
      <c r="C154">
        <v>7</v>
      </c>
      <c r="D154">
        <v>4</v>
      </c>
      <c r="E154" t="s">
        <v>32</v>
      </c>
      <c r="F154">
        <v>74.89</v>
      </c>
      <c r="G154">
        <v>44</v>
      </c>
      <c r="H154" t="s">
        <v>14</v>
      </c>
      <c r="I154" t="s">
        <v>13</v>
      </c>
      <c r="J154" t="s">
        <v>15</v>
      </c>
      <c r="K154">
        <v>74.89</v>
      </c>
      <c r="L154" t="s">
        <v>16</v>
      </c>
      <c r="M154" t="s">
        <v>16</v>
      </c>
      <c r="N154" t="s">
        <v>923</v>
      </c>
      <c r="O154">
        <f>_xlfn.XLOOKUP(customer_satisfaction_cleaned[[#This Row],[Product Category]],Table2[Product Category],Table2[Delivery SLA (Days)],"NA",0)</f>
        <v>7</v>
      </c>
      <c r="P1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5" spans="1:16" x14ac:dyDescent="0.2">
      <c r="A155" t="s">
        <v>178</v>
      </c>
      <c r="B155" t="s">
        <v>12</v>
      </c>
      <c r="C155">
        <v>9</v>
      </c>
      <c r="D155">
        <v>4</v>
      </c>
      <c r="E155" t="s">
        <v>21</v>
      </c>
      <c r="F155">
        <v>40.22</v>
      </c>
      <c r="G155">
        <v>21</v>
      </c>
      <c r="H155" t="s">
        <v>20</v>
      </c>
      <c r="I155" t="s">
        <v>21</v>
      </c>
      <c r="J155" t="s">
        <v>20</v>
      </c>
      <c r="K155">
        <v>40.22</v>
      </c>
      <c r="L155" t="s">
        <v>16</v>
      </c>
      <c r="M155" t="s">
        <v>16</v>
      </c>
      <c r="N155" t="s">
        <v>924</v>
      </c>
      <c r="O155">
        <f>_xlfn.XLOOKUP(customer_satisfaction_cleaned[[#This Row],[Product Category]],Table2[Product Category],Table2[Delivery SLA (Days)],"NA",0)</f>
        <v>5</v>
      </c>
      <c r="P1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6" spans="1:16" x14ac:dyDescent="0.2">
      <c r="A156" t="s">
        <v>179</v>
      </c>
      <c r="B156" t="s">
        <v>18</v>
      </c>
      <c r="C156">
        <v>8</v>
      </c>
      <c r="D156">
        <v>5</v>
      </c>
      <c r="E156" t="s">
        <v>21</v>
      </c>
      <c r="F156">
        <v>94.63</v>
      </c>
      <c r="G156">
        <v>62</v>
      </c>
      <c r="H156" t="s">
        <v>24</v>
      </c>
      <c r="I156" t="s">
        <v>21</v>
      </c>
      <c r="J156" t="s">
        <v>25</v>
      </c>
      <c r="K156">
        <v>94.63</v>
      </c>
      <c r="L156" t="s">
        <v>16</v>
      </c>
      <c r="M156" t="s">
        <v>16</v>
      </c>
      <c r="N156" t="s">
        <v>925</v>
      </c>
      <c r="O156">
        <f>_xlfn.XLOOKUP(customer_satisfaction_cleaned[[#This Row],[Product Category]],Table2[Product Category],Table2[Delivery SLA (Days)],"NA",0)</f>
        <v>10</v>
      </c>
      <c r="P1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7" spans="1:16" x14ac:dyDescent="0.2">
      <c r="A157" t="s">
        <v>180</v>
      </c>
      <c r="B157" t="s">
        <v>12</v>
      </c>
      <c r="C157">
        <v>9</v>
      </c>
      <c r="D157">
        <v>2</v>
      </c>
      <c r="E157" t="s">
        <v>29</v>
      </c>
      <c r="F157">
        <v>112.24</v>
      </c>
      <c r="G157">
        <v>38</v>
      </c>
      <c r="H157" t="s">
        <v>29</v>
      </c>
      <c r="I157" t="s">
        <v>25</v>
      </c>
      <c r="J157" t="s">
        <v>25</v>
      </c>
      <c r="K157">
        <v>112.24</v>
      </c>
      <c r="L157" t="s">
        <v>16</v>
      </c>
      <c r="M157" t="s">
        <v>16</v>
      </c>
      <c r="N157" t="s">
        <v>923</v>
      </c>
      <c r="O157">
        <f>_xlfn.XLOOKUP(customer_satisfaction_cleaned[[#This Row],[Product Category]],Table2[Product Category],Table2[Delivery SLA (Days)],"NA",0)</f>
        <v>5</v>
      </c>
      <c r="P1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8" spans="1:16" x14ac:dyDescent="0.2">
      <c r="A158" t="s">
        <v>181</v>
      </c>
      <c r="B158" t="s">
        <v>23</v>
      </c>
      <c r="C158">
        <v>6</v>
      </c>
      <c r="D158">
        <v>0</v>
      </c>
      <c r="E158" t="s">
        <v>34</v>
      </c>
      <c r="F158">
        <v>88.92</v>
      </c>
      <c r="H158" t="s">
        <v>44</v>
      </c>
      <c r="I158" t="s">
        <v>25</v>
      </c>
      <c r="J158" t="s">
        <v>20</v>
      </c>
      <c r="K158">
        <v>88.92</v>
      </c>
      <c r="L158" t="s">
        <v>16</v>
      </c>
      <c r="M158" t="s">
        <v>16</v>
      </c>
      <c r="N158" t="s">
        <v>922</v>
      </c>
      <c r="O158">
        <f>_xlfn.XLOOKUP(customer_satisfaction_cleaned[[#This Row],[Product Category]],Table2[Product Category],Table2[Delivery SLA (Days)],"NA",0)</f>
        <v>7</v>
      </c>
      <c r="P1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9" spans="1:16" x14ac:dyDescent="0.2">
      <c r="A159" t="s">
        <v>182</v>
      </c>
      <c r="B159" t="s">
        <v>12</v>
      </c>
      <c r="C159">
        <v>8</v>
      </c>
      <c r="D159">
        <v>5</v>
      </c>
      <c r="E159" t="s">
        <v>32</v>
      </c>
      <c r="F159">
        <v>115.74</v>
      </c>
      <c r="G159">
        <v>23</v>
      </c>
      <c r="H159" t="s">
        <v>15</v>
      </c>
      <c r="I159" t="s">
        <v>13</v>
      </c>
      <c r="J159" t="s">
        <v>15</v>
      </c>
      <c r="K159">
        <v>115.74</v>
      </c>
      <c r="L159" t="s">
        <v>16</v>
      </c>
      <c r="M159" t="s">
        <v>16</v>
      </c>
      <c r="N159" t="s">
        <v>924</v>
      </c>
      <c r="O159">
        <f>_xlfn.XLOOKUP(customer_satisfaction_cleaned[[#This Row],[Product Category]],Table2[Product Category],Table2[Delivery SLA (Days)],"NA",0)</f>
        <v>5</v>
      </c>
      <c r="P1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0" spans="1:16" x14ac:dyDescent="0.2">
      <c r="A160" t="s">
        <v>183</v>
      </c>
      <c r="B160" t="s">
        <v>12</v>
      </c>
      <c r="C160">
        <v>4</v>
      </c>
      <c r="D160">
        <v>8</v>
      </c>
      <c r="E160" t="s">
        <v>32</v>
      </c>
      <c r="F160">
        <v>158.03</v>
      </c>
      <c r="G160">
        <v>31</v>
      </c>
      <c r="H160" t="s">
        <v>42</v>
      </c>
      <c r="I160" t="s">
        <v>13</v>
      </c>
      <c r="J160" t="s">
        <v>25</v>
      </c>
      <c r="K160">
        <v>158.03</v>
      </c>
      <c r="L160" t="s">
        <v>16</v>
      </c>
      <c r="M160" t="s">
        <v>16</v>
      </c>
      <c r="N160" t="s">
        <v>923</v>
      </c>
      <c r="O160">
        <f>_xlfn.XLOOKUP(customer_satisfaction_cleaned[[#This Row],[Product Category]],Table2[Product Category],Table2[Delivery SLA (Days)],"NA",0)</f>
        <v>5</v>
      </c>
      <c r="P1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61" spans="1:16" x14ac:dyDescent="0.2">
      <c r="A161" t="s">
        <v>184</v>
      </c>
      <c r="B161" t="s">
        <v>12</v>
      </c>
      <c r="C161">
        <v>5</v>
      </c>
      <c r="D161">
        <v>9</v>
      </c>
      <c r="E161" t="s">
        <v>13</v>
      </c>
      <c r="F161">
        <v>71.75</v>
      </c>
      <c r="G161">
        <v>77</v>
      </c>
      <c r="H161" t="s">
        <v>15</v>
      </c>
      <c r="I161" t="s">
        <v>13</v>
      </c>
      <c r="J161" t="s">
        <v>15</v>
      </c>
      <c r="K161">
        <v>71.75</v>
      </c>
      <c r="L161" t="s">
        <v>16</v>
      </c>
      <c r="M161" t="s">
        <v>16</v>
      </c>
      <c r="N161" t="s">
        <v>925</v>
      </c>
      <c r="O161">
        <f>_xlfn.XLOOKUP(customer_satisfaction_cleaned[[#This Row],[Product Category]],Table2[Product Category],Table2[Delivery SLA (Days)],"NA",0)</f>
        <v>5</v>
      </c>
      <c r="P1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62" spans="1:16" x14ac:dyDescent="0.2">
      <c r="A162" t="s">
        <v>185</v>
      </c>
      <c r="B162" t="s">
        <v>47</v>
      </c>
      <c r="C162">
        <v>8</v>
      </c>
      <c r="D162">
        <v>6</v>
      </c>
      <c r="E162" t="s">
        <v>21</v>
      </c>
      <c r="F162">
        <v>108.63</v>
      </c>
      <c r="G162">
        <v>27</v>
      </c>
      <c r="H162" t="s">
        <v>14</v>
      </c>
      <c r="I162" t="s">
        <v>21</v>
      </c>
      <c r="J162" t="s">
        <v>15</v>
      </c>
      <c r="K162">
        <v>108.63</v>
      </c>
      <c r="L162" t="s">
        <v>16</v>
      </c>
      <c r="M162" t="s">
        <v>16</v>
      </c>
      <c r="N162" t="s">
        <v>924</v>
      </c>
      <c r="O162">
        <f>_xlfn.XLOOKUP(customer_satisfaction_cleaned[[#This Row],[Product Category]],Table2[Product Category],Table2[Delivery SLA (Days)],"NA",0)</f>
        <v>7</v>
      </c>
      <c r="P1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3" spans="1:16" x14ac:dyDescent="0.2">
      <c r="A163" t="s">
        <v>186</v>
      </c>
      <c r="B163" t="s">
        <v>23</v>
      </c>
      <c r="C163">
        <v>10</v>
      </c>
      <c r="D163">
        <v>5</v>
      </c>
      <c r="E163" t="s">
        <v>13</v>
      </c>
      <c r="F163">
        <v>110.58</v>
      </c>
      <c r="G163">
        <v>38</v>
      </c>
      <c r="H163" t="s">
        <v>20</v>
      </c>
      <c r="I163" t="s">
        <v>13</v>
      </c>
      <c r="J163" t="s">
        <v>20</v>
      </c>
      <c r="K163">
        <v>110.58</v>
      </c>
      <c r="L163" t="s">
        <v>16</v>
      </c>
      <c r="M163" t="s">
        <v>16</v>
      </c>
      <c r="N163" t="s">
        <v>923</v>
      </c>
      <c r="O163">
        <f>_xlfn.XLOOKUP(customer_satisfaction_cleaned[[#This Row],[Product Category]],Table2[Product Category],Table2[Delivery SLA (Days)],"NA",0)</f>
        <v>7</v>
      </c>
      <c r="P1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4" spans="1:16" x14ac:dyDescent="0.2">
      <c r="A164" t="s">
        <v>187</v>
      </c>
      <c r="B164" t="s">
        <v>47</v>
      </c>
      <c r="C164">
        <v>5</v>
      </c>
      <c r="E164" t="s">
        <v>19</v>
      </c>
      <c r="F164">
        <v>151.91999999999999</v>
      </c>
      <c r="G164">
        <v>33</v>
      </c>
      <c r="H164" t="s">
        <v>42</v>
      </c>
      <c r="I164" t="s">
        <v>21</v>
      </c>
      <c r="J164" t="s">
        <v>25</v>
      </c>
      <c r="K164">
        <v>151.91999999999999</v>
      </c>
      <c r="L164" t="s">
        <v>16</v>
      </c>
      <c r="M164" t="s">
        <v>937</v>
      </c>
      <c r="N164" t="s">
        <v>923</v>
      </c>
      <c r="O164">
        <f>_xlfn.XLOOKUP(customer_satisfaction_cleaned[[#This Row],[Product Category]],Table2[Product Category],Table2[Delivery SLA (Days)],"NA",0)</f>
        <v>7</v>
      </c>
      <c r="P1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65" spans="1:16" x14ac:dyDescent="0.2">
      <c r="A165" t="s">
        <v>188</v>
      </c>
      <c r="B165" t="s">
        <v>23</v>
      </c>
      <c r="C165">
        <v>5</v>
      </c>
      <c r="D165">
        <v>2</v>
      </c>
      <c r="E165" t="s">
        <v>21</v>
      </c>
      <c r="F165">
        <v>152.38999999999999</v>
      </c>
      <c r="G165">
        <v>43</v>
      </c>
      <c r="H165" t="s">
        <v>15</v>
      </c>
      <c r="I165" t="s">
        <v>21</v>
      </c>
      <c r="J165" t="s">
        <v>15</v>
      </c>
      <c r="K165">
        <v>152.38999999999999</v>
      </c>
      <c r="L165" t="s">
        <v>16</v>
      </c>
      <c r="M165" t="s">
        <v>16</v>
      </c>
      <c r="N165" t="s">
        <v>923</v>
      </c>
      <c r="O165">
        <f>_xlfn.XLOOKUP(customer_satisfaction_cleaned[[#This Row],[Product Category]],Table2[Product Category],Table2[Delivery SLA (Days)],"NA",0)</f>
        <v>7</v>
      </c>
      <c r="P1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6" spans="1:16" x14ac:dyDescent="0.2">
      <c r="A166" t="s">
        <v>189</v>
      </c>
      <c r="B166" t="s">
        <v>12</v>
      </c>
      <c r="C166">
        <v>10</v>
      </c>
      <c r="D166">
        <v>6</v>
      </c>
      <c r="E166" t="s">
        <v>19</v>
      </c>
      <c r="F166">
        <v>73.09</v>
      </c>
      <c r="G166">
        <v>46</v>
      </c>
      <c r="H166" t="s">
        <v>29</v>
      </c>
      <c r="I166" t="s">
        <v>21</v>
      </c>
      <c r="J166" t="s">
        <v>25</v>
      </c>
      <c r="K166">
        <v>73.09</v>
      </c>
      <c r="L166" t="s">
        <v>16</v>
      </c>
      <c r="M166" t="s">
        <v>16</v>
      </c>
      <c r="N166" t="s">
        <v>923</v>
      </c>
      <c r="O166">
        <f>_xlfn.XLOOKUP(customer_satisfaction_cleaned[[#This Row],[Product Category]],Table2[Product Category],Table2[Delivery SLA (Days)],"NA",0)</f>
        <v>5</v>
      </c>
      <c r="P1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67" spans="1:16" x14ac:dyDescent="0.2">
      <c r="A167" t="s">
        <v>190</v>
      </c>
      <c r="B167" t="s">
        <v>23</v>
      </c>
      <c r="C167">
        <v>8</v>
      </c>
      <c r="D167">
        <v>1</v>
      </c>
      <c r="E167" t="s">
        <v>32</v>
      </c>
      <c r="F167">
        <v>75.599999999999994</v>
      </c>
      <c r="G167">
        <v>48</v>
      </c>
      <c r="H167" t="s">
        <v>34</v>
      </c>
      <c r="I167" t="s">
        <v>13</v>
      </c>
      <c r="J167" t="s">
        <v>25</v>
      </c>
      <c r="K167">
        <v>75.599999999999994</v>
      </c>
      <c r="L167" t="s">
        <v>16</v>
      </c>
      <c r="M167" t="s">
        <v>16</v>
      </c>
      <c r="N167" t="s">
        <v>923</v>
      </c>
      <c r="O167">
        <f>_xlfn.XLOOKUP(customer_satisfaction_cleaned[[#This Row],[Product Category]],Table2[Product Category],Table2[Delivery SLA (Days)],"NA",0)</f>
        <v>7</v>
      </c>
      <c r="P1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8" spans="1:16" x14ac:dyDescent="0.2">
      <c r="A168" t="s">
        <v>191</v>
      </c>
      <c r="B168" t="s">
        <v>12</v>
      </c>
      <c r="C168">
        <v>11</v>
      </c>
      <c r="D168">
        <v>5</v>
      </c>
      <c r="E168" t="s">
        <v>19</v>
      </c>
      <c r="F168">
        <v>128.68</v>
      </c>
      <c r="G168">
        <v>11</v>
      </c>
      <c r="H168" t="s">
        <v>42</v>
      </c>
      <c r="I168" t="s">
        <v>21</v>
      </c>
      <c r="J168" t="s">
        <v>25</v>
      </c>
      <c r="K168">
        <v>128.68</v>
      </c>
      <c r="L168" t="s">
        <v>16</v>
      </c>
      <c r="M168" t="s">
        <v>16</v>
      </c>
      <c r="N168" t="s">
        <v>926</v>
      </c>
      <c r="O168">
        <f>_xlfn.XLOOKUP(customer_satisfaction_cleaned[[#This Row],[Product Category]],Table2[Product Category],Table2[Delivery SLA (Days)],"NA",0)</f>
        <v>5</v>
      </c>
      <c r="P1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9" spans="1:16" x14ac:dyDescent="0.2">
      <c r="A169" t="s">
        <v>192</v>
      </c>
      <c r="B169" t="s">
        <v>47</v>
      </c>
      <c r="C169">
        <v>10</v>
      </c>
      <c r="D169">
        <v>2</v>
      </c>
      <c r="E169" t="s">
        <v>21</v>
      </c>
      <c r="F169">
        <v>101.24</v>
      </c>
      <c r="G169">
        <v>15</v>
      </c>
      <c r="H169" t="s">
        <v>42</v>
      </c>
      <c r="I169" t="s">
        <v>21</v>
      </c>
      <c r="J169" t="s">
        <v>25</v>
      </c>
      <c r="K169">
        <v>101.24</v>
      </c>
      <c r="L169" t="s">
        <v>16</v>
      </c>
      <c r="M169" t="s">
        <v>16</v>
      </c>
      <c r="N169" t="s">
        <v>924</v>
      </c>
      <c r="O169">
        <f>_xlfn.XLOOKUP(customer_satisfaction_cleaned[[#This Row],[Product Category]],Table2[Product Category],Table2[Delivery SLA (Days)],"NA",0)</f>
        <v>7</v>
      </c>
      <c r="P1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0" spans="1:16" x14ac:dyDescent="0.2">
      <c r="A170" t="s">
        <v>193</v>
      </c>
      <c r="B170" t="s">
        <v>23</v>
      </c>
      <c r="C170">
        <v>6</v>
      </c>
      <c r="D170">
        <v>7</v>
      </c>
      <c r="E170" t="s">
        <v>32</v>
      </c>
      <c r="F170">
        <v>102.67</v>
      </c>
      <c r="G170">
        <v>18</v>
      </c>
      <c r="H170" t="s">
        <v>44</v>
      </c>
      <c r="I170" t="s">
        <v>13</v>
      </c>
      <c r="J170" t="s">
        <v>20</v>
      </c>
      <c r="K170">
        <v>102.67</v>
      </c>
      <c r="L170" t="s">
        <v>16</v>
      </c>
      <c r="M170" t="s">
        <v>16</v>
      </c>
      <c r="N170" t="s">
        <v>924</v>
      </c>
      <c r="O170">
        <f>_xlfn.XLOOKUP(customer_satisfaction_cleaned[[#This Row],[Product Category]],Table2[Product Category],Table2[Delivery SLA (Days)],"NA",0)</f>
        <v>7</v>
      </c>
      <c r="P1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1" spans="1:16" x14ac:dyDescent="0.2">
      <c r="A171" t="s">
        <v>194</v>
      </c>
      <c r="B171" t="s">
        <v>18</v>
      </c>
      <c r="C171">
        <v>7</v>
      </c>
      <c r="D171">
        <v>7</v>
      </c>
      <c r="E171" t="s">
        <v>13</v>
      </c>
      <c r="F171">
        <v>74.14</v>
      </c>
      <c r="G171">
        <v>51</v>
      </c>
      <c r="H171" t="s">
        <v>24</v>
      </c>
      <c r="I171" t="s">
        <v>13</v>
      </c>
      <c r="J171" t="s">
        <v>25</v>
      </c>
      <c r="K171">
        <v>74.14</v>
      </c>
      <c r="L171" t="s">
        <v>16</v>
      </c>
      <c r="M171" t="s">
        <v>16</v>
      </c>
      <c r="N171" t="s">
        <v>923</v>
      </c>
      <c r="O171">
        <f>_xlfn.XLOOKUP(customer_satisfaction_cleaned[[#This Row],[Product Category]],Table2[Product Category],Table2[Delivery SLA (Days)],"NA",0)</f>
        <v>10</v>
      </c>
      <c r="P1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2" spans="1:16" x14ac:dyDescent="0.2">
      <c r="A172" t="s">
        <v>195</v>
      </c>
      <c r="B172" t="s">
        <v>18</v>
      </c>
      <c r="C172">
        <v>6</v>
      </c>
      <c r="D172">
        <v>7</v>
      </c>
      <c r="E172" t="s">
        <v>29</v>
      </c>
      <c r="F172">
        <v>161.06</v>
      </c>
      <c r="G172">
        <v>37</v>
      </c>
      <c r="H172" t="s">
        <v>14</v>
      </c>
      <c r="I172" t="s">
        <v>25</v>
      </c>
      <c r="J172" t="s">
        <v>15</v>
      </c>
      <c r="K172">
        <v>161.06</v>
      </c>
      <c r="L172" t="s">
        <v>16</v>
      </c>
      <c r="M172" t="s">
        <v>16</v>
      </c>
      <c r="N172" t="s">
        <v>923</v>
      </c>
      <c r="O172">
        <f>_xlfn.XLOOKUP(customer_satisfaction_cleaned[[#This Row],[Product Category]],Table2[Product Category],Table2[Delivery SLA (Days)],"NA",0)</f>
        <v>10</v>
      </c>
      <c r="P1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3" spans="1:16" x14ac:dyDescent="0.2">
      <c r="A173" t="s">
        <v>196</v>
      </c>
      <c r="B173" t="s">
        <v>18</v>
      </c>
      <c r="C173">
        <v>4</v>
      </c>
      <c r="D173">
        <v>9</v>
      </c>
      <c r="E173" t="s">
        <v>29</v>
      </c>
      <c r="F173">
        <v>78.459999999999994</v>
      </c>
      <c r="G173">
        <v>42</v>
      </c>
      <c r="H173" t="s">
        <v>44</v>
      </c>
      <c r="I173" t="s">
        <v>25</v>
      </c>
      <c r="J173" t="s">
        <v>20</v>
      </c>
      <c r="K173">
        <v>78.459999999999994</v>
      </c>
      <c r="L173" t="s">
        <v>16</v>
      </c>
      <c r="M173" t="s">
        <v>16</v>
      </c>
      <c r="N173" t="s">
        <v>923</v>
      </c>
      <c r="O173">
        <f>_xlfn.XLOOKUP(customer_satisfaction_cleaned[[#This Row],[Product Category]],Table2[Product Category],Table2[Delivery SLA (Days)],"NA",0)</f>
        <v>10</v>
      </c>
      <c r="P1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4" spans="1:16" x14ac:dyDescent="0.2">
      <c r="A174" t="s">
        <v>197</v>
      </c>
      <c r="B174" t="s">
        <v>23</v>
      </c>
      <c r="C174">
        <v>12</v>
      </c>
      <c r="D174">
        <v>6</v>
      </c>
      <c r="E174" t="s">
        <v>13</v>
      </c>
      <c r="F174">
        <v>90.88</v>
      </c>
      <c r="G174">
        <v>19</v>
      </c>
      <c r="H174" t="s">
        <v>14</v>
      </c>
      <c r="I174" t="s">
        <v>13</v>
      </c>
      <c r="J174" t="s">
        <v>15</v>
      </c>
      <c r="K174">
        <v>90.88</v>
      </c>
      <c r="L174" t="s">
        <v>16</v>
      </c>
      <c r="M174" t="s">
        <v>16</v>
      </c>
      <c r="N174" t="s">
        <v>924</v>
      </c>
      <c r="O174">
        <f>_xlfn.XLOOKUP(customer_satisfaction_cleaned[[#This Row],[Product Category]],Table2[Product Category],Table2[Delivery SLA (Days)],"NA",0)</f>
        <v>7</v>
      </c>
      <c r="P1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5" spans="1:16" x14ac:dyDescent="0.2">
      <c r="A175" t="s">
        <v>198</v>
      </c>
      <c r="B175" t="s">
        <v>18</v>
      </c>
      <c r="C175">
        <v>8</v>
      </c>
      <c r="D175">
        <v>7</v>
      </c>
      <c r="E175" t="s">
        <v>21</v>
      </c>
      <c r="F175">
        <v>109.24</v>
      </c>
      <c r="G175">
        <v>36</v>
      </c>
      <c r="H175" t="s">
        <v>15</v>
      </c>
      <c r="I175" t="s">
        <v>21</v>
      </c>
      <c r="J175" t="s">
        <v>15</v>
      </c>
      <c r="K175">
        <v>109.24</v>
      </c>
      <c r="L175" t="s">
        <v>16</v>
      </c>
      <c r="M175" t="s">
        <v>16</v>
      </c>
      <c r="N175" t="s">
        <v>923</v>
      </c>
      <c r="O175">
        <f>_xlfn.XLOOKUP(customer_satisfaction_cleaned[[#This Row],[Product Category]],Table2[Product Category],Table2[Delivery SLA (Days)],"NA",0)</f>
        <v>10</v>
      </c>
      <c r="P1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6" spans="1:16" x14ac:dyDescent="0.2">
      <c r="A176" t="s">
        <v>17</v>
      </c>
      <c r="B176" t="s">
        <v>12</v>
      </c>
      <c r="C176">
        <v>6</v>
      </c>
      <c r="D176">
        <v>8</v>
      </c>
      <c r="E176" t="s">
        <v>21</v>
      </c>
      <c r="F176">
        <v>74.14</v>
      </c>
      <c r="G176">
        <v>50</v>
      </c>
      <c r="H176" t="s">
        <v>44</v>
      </c>
      <c r="I176" t="s">
        <v>21</v>
      </c>
      <c r="J176" t="s">
        <v>20</v>
      </c>
      <c r="K176">
        <v>74.14</v>
      </c>
      <c r="L176" t="s">
        <v>16</v>
      </c>
      <c r="M176" t="s">
        <v>16</v>
      </c>
      <c r="N176" t="s">
        <v>923</v>
      </c>
      <c r="O176">
        <f>_xlfn.XLOOKUP(customer_satisfaction_cleaned[[#This Row],[Product Category]],Table2[Product Category],Table2[Delivery SLA (Days)],"NA",0)</f>
        <v>5</v>
      </c>
      <c r="P1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77" spans="1:16" x14ac:dyDescent="0.2">
      <c r="A177" t="s">
        <v>199</v>
      </c>
      <c r="B177" t="s">
        <v>12</v>
      </c>
      <c r="C177">
        <v>10</v>
      </c>
      <c r="D177">
        <v>5</v>
      </c>
      <c r="E177" t="s">
        <v>21</v>
      </c>
      <c r="F177">
        <v>95.23</v>
      </c>
      <c r="G177">
        <v>31</v>
      </c>
      <c r="H177" t="s">
        <v>20</v>
      </c>
      <c r="I177" t="s">
        <v>21</v>
      </c>
      <c r="J177" t="s">
        <v>20</v>
      </c>
      <c r="K177">
        <v>95.23</v>
      </c>
      <c r="L177" t="s">
        <v>16</v>
      </c>
      <c r="M177" t="s">
        <v>16</v>
      </c>
      <c r="N177" t="s">
        <v>923</v>
      </c>
      <c r="O177">
        <f>_xlfn.XLOOKUP(customer_satisfaction_cleaned[[#This Row],[Product Category]],Table2[Product Category],Table2[Delivery SLA (Days)],"NA",0)</f>
        <v>5</v>
      </c>
      <c r="P1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8" spans="1:16" x14ac:dyDescent="0.2">
      <c r="A178" t="s">
        <v>200</v>
      </c>
      <c r="B178" t="s">
        <v>18</v>
      </c>
      <c r="C178">
        <v>7</v>
      </c>
      <c r="D178">
        <v>6</v>
      </c>
      <c r="E178" t="s">
        <v>13</v>
      </c>
      <c r="F178">
        <v>124.25</v>
      </c>
      <c r="G178">
        <v>12</v>
      </c>
      <c r="H178" t="s">
        <v>14</v>
      </c>
      <c r="I178" t="s">
        <v>13</v>
      </c>
      <c r="J178" t="s">
        <v>15</v>
      </c>
      <c r="K178">
        <v>124.25</v>
      </c>
      <c r="L178" t="s">
        <v>16</v>
      </c>
      <c r="M178" t="s">
        <v>16</v>
      </c>
      <c r="N178" t="s">
        <v>926</v>
      </c>
      <c r="O178">
        <f>_xlfn.XLOOKUP(customer_satisfaction_cleaned[[#This Row],[Product Category]],Table2[Product Category],Table2[Delivery SLA (Days)],"NA",0)</f>
        <v>10</v>
      </c>
      <c r="P1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9" spans="1:16" x14ac:dyDescent="0.2">
      <c r="A179" t="s">
        <v>201</v>
      </c>
      <c r="B179" t="s">
        <v>23</v>
      </c>
      <c r="C179">
        <v>7</v>
      </c>
      <c r="D179">
        <v>4</v>
      </c>
      <c r="E179" t="s">
        <v>34</v>
      </c>
      <c r="F179">
        <v>58.99</v>
      </c>
      <c r="G179">
        <v>42</v>
      </c>
      <c r="H179" t="s">
        <v>20</v>
      </c>
      <c r="I179" t="s">
        <v>25</v>
      </c>
      <c r="J179" t="s">
        <v>20</v>
      </c>
      <c r="K179">
        <v>58.99</v>
      </c>
      <c r="L179" t="s">
        <v>16</v>
      </c>
      <c r="M179" t="s">
        <v>16</v>
      </c>
      <c r="N179" t="s">
        <v>923</v>
      </c>
      <c r="O179">
        <f>_xlfn.XLOOKUP(customer_satisfaction_cleaned[[#This Row],[Product Category]],Table2[Product Category],Table2[Delivery SLA (Days)],"NA",0)</f>
        <v>7</v>
      </c>
      <c r="P1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0" spans="1:16" x14ac:dyDescent="0.2">
      <c r="A180" t="s">
        <v>202</v>
      </c>
      <c r="B180" t="s">
        <v>18</v>
      </c>
      <c r="C180">
        <v>4</v>
      </c>
      <c r="D180">
        <v>4</v>
      </c>
      <c r="E180" t="s">
        <v>21</v>
      </c>
      <c r="F180">
        <v>111.19</v>
      </c>
      <c r="G180">
        <v>75</v>
      </c>
      <c r="H180" t="s">
        <v>34</v>
      </c>
      <c r="I180" t="s">
        <v>21</v>
      </c>
      <c r="J180" t="s">
        <v>25</v>
      </c>
      <c r="K180">
        <v>111.19</v>
      </c>
      <c r="L180" t="s">
        <v>16</v>
      </c>
      <c r="M180" t="s">
        <v>16</v>
      </c>
      <c r="N180" t="s">
        <v>925</v>
      </c>
      <c r="O180">
        <f>_xlfn.XLOOKUP(customer_satisfaction_cleaned[[#This Row],[Product Category]],Table2[Product Category],Table2[Delivery SLA (Days)],"NA",0)</f>
        <v>10</v>
      </c>
      <c r="P1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1" spans="1:16" x14ac:dyDescent="0.2">
      <c r="A181" t="s">
        <v>203</v>
      </c>
      <c r="B181" t="s">
        <v>12</v>
      </c>
      <c r="C181">
        <v>10</v>
      </c>
      <c r="D181">
        <v>3</v>
      </c>
      <c r="E181" t="s">
        <v>13</v>
      </c>
      <c r="F181">
        <v>167.07</v>
      </c>
      <c r="G181">
        <v>30</v>
      </c>
      <c r="H181" t="s">
        <v>42</v>
      </c>
      <c r="I181" t="s">
        <v>13</v>
      </c>
      <c r="J181" t="s">
        <v>25</v>
      </c>
      <c r="K181">
        <v>167.07</v>
      </c>
      <c r="L181" t="s">
        <v>16</v>
      </c>
      <c r="M181" t="s">
        <v>16</v>
      </c>
      <c r="N181" t="s">
        <v>923</v>
      </c>
      <c r="O181">
        <f>_xlfn.XLOOKUP(customer_satisfaction_cleaned[[#This Row],[Product Category]],Table2[Product Category],Table2[Delivery SLA (Days)],"NA",0)</f>
        <v>5</v>
      </c>
      <c r="P1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2" spans="1:16" x14ac:dyDescent="0.2">
      <c r="A182" t="s">
        <v>204</v>
      </c>
      <c r="B182" t="s">
        <v>23</v>
      </c>
      <c r="C182">
        <v>9</v>
      </c>
      <c r="D182">
        <v>6</v>
      </c>
      <c r="E182" t="s">
        <v>21</v>
      </c>
      <c r="F182">
        <v>199.64</v>
      </c>
      <c r="G182">
        <v>41</v>
      </c>
      <c r="H182" t="s">
        <v>20</v>
      </c>
      <c r="I182" t="s">
        <v>21</v>
      </c>
      <c r="J182" t="s">
        <v>20</v>
      </c>
      <c r="K182">
        <v>199.64</v>
      </c>
      <c r="L182" t="s">
        <v>16</v>
      </c>
      <c r="M182" t="s">
        <v>16</v>
      </c>
      <c r="N182" t="s">
        <v>923</v>
      </c>
      <c r="O182">
        <f>_xlfn.XLOOKUP(customer_satisfaction_cleaned[[#This Row],[Product Category]],Table2[Product Category],Table2[Delivery SLA (Days)],"NA",0)</f>
        <v>7</v>
      </c>
      <c r="P1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3" spans="1:16" x14ac:dyDescent="0.2">
      <c r="A183" t="s">
        <v>205</v>
      </c>
      <c r="B183" t="s">
        <v>23</v>
      </c>
      <c r="C183">
        <v>11</v>
      </c>
      <c r="D183">
        <v>2</v>
      </c>
      <c r="E183" t="s">
        <v>21</v>
      </c>
      <c r="F183">
        <v>71.69</v>
      </c>
      <c r="G183">
        <v>22</v>
      </c>
      <c r="H183" t="s">
        <v>20</v>
      </c>
      <c r="I183" t="s">
        <v>21</v>
      </c>
      <c r="J183" t="s">
        <v>20</v>
      </c>
      <c r="K183">
        <v>71.69</v>
      </c>
      <c r="L183" t="s">
        <v>16</v>
      </c>
      <c r="M183" t="s">
        <v>16</v>
      </c>
      <c r="N183" t="s">
        <v>924</v>
      </c>
      <c r="O183">
        <f>_xlfn.XLOOKUP(customer_satisfaction_cleaned[[#This Row],[Product Category]],Table2[Product Category],Table2[Delivery SLA (Days)],"NA",0)</f>
        <v>7</v>
      </c>
      <c r="P1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4" spans="1:16" x14ac:dyDescent="0.2">
      <c r="A184" t="s">
        <v>206</v>
      </c>
      <c r="B184" t="s">
        <v>12</v>
      </c>
      <c r="C184">
        <v>3</v>
      </c>
      <c r="D184">
        <v>7</v>
      </c>
      <c r="E184" t="s">
        <v>29</v>
      </c>
      <c r="F184">
        <v>156.91999999999999</v>
      </c>
      <c r="G184">
        <v>41</v>
      </c>
      <c r="H184" t="s">
        <v>14</v>
      </c>
      <c r="I184" t="s">
        <v>25</v>
      </c>
      <c r="J184" t="s">
        <v>15</v>
      </c>
      <c r="K184">
        <v>156.91999999999999</v>
      </c>
      <c r="L184" t="s">
        <v>16</v>
      </c>
      <c r="M184" t="s">
        <v>16</v>
      </c>
      <c r="N184" t="s">
        <v>923</v>
      </c>
      <c r="O184">
        <f>_xlfn.XLOOKUP(customer_satisfaction_cleaned[[#This Row],[Product Category]],Table2[Product Category],Table2[Delivery SLA (Days)],"NA",0)</f>
        <v>5</v>
      </c>
      <c r="P1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85" spans="1:16" x14ac:dyDescent="0.2">
      <c r="A185" t="s">
        <v>207</v>
      </c>
      <c r="B185" t="s">
        <v>18</v>
      </c>
      <c r="C185">
        <v>7</v>
      </c>
      <c r="D185">
        <v>4</v>
      </c>
      <c r="E185" t="s">
        <v>19</v>
      </c>
      <c r="F185">
        <v>131.41999999999999</v>
      </c>
      <c r="G185">
        <v>9</v>
      </c>
      <c r="H185" t="s">
        <v>42</v>
      </c>
      <c r="I185" t="s">
        <v>21</v>
      </c>
      <c r="J185" t="s">
        <v>25</v>
      </c>
      <c r="K185">
        <v>131.41999999999999</v>
      </c>
      <c r="L185" t="s">
        <v>16</v>
      </c>
      <c r="M185" t="s">
        <v>16</v>
      </c>
      <c r="N185" t="s">
        <v>926</v>
      </c>
      <c r="O185">
        <f>_xlfn.XLOOKUP(customer_satisfaction_cleaned[[#This Row],[Product Category]],Table2[Product Category],Table2[Delivery SLA (Days)],"NA",0)</f>
        <v>10</v>
      </c>
      <c r="P1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6" spans="1:16" x14ac:dyDescent="0.2">
      <c r="A186" t="s">
        <v>208</v>
      </c>
      <c r="B186" t="s">
        <v>18</v>
      </c>
      <c r="C186">
        <v>4</v>
      </c>
      <c r="D186">
        <v>5</v>
      </c>
      <c r="E186" t="s">
        <v>21</v>
      </c>
      <c r="F186">
        <v>86.02</v>
      </c>
      <c r="G186">
        <v>44</v>
      </c>
      <c r="H186" t="s">
        <v>34</v>
      </c>
      <c r="I186" t="s">
        <v>21</v>
      </c>
      <c r="J186" t="s">
        <v>25</v>
      </c>
      <c r="K186">
        <v>86.02</v>
      </c>
      <c r="L186" t="s">
        <v>16</v>
      </c>
      <c r="M186" t="s">
        <v>16</v>
      </c>
      <c r="N186" t="s">
        <v>923</v>
      </c>
      <c r="O186">
        <f>_xlfn.XLOOKUP(customer_satisfaction_cleaned[[#This Row],[Product Category]],Table2[Product Category],Table2[Delivery SLA (Days)],"NA",0)</f>
        <v>10</v>
      </c>
      <c r="P1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7" spans="1:16" x14ac:dyDescent="0.2">
      <c r="A187" t="s">
        <v>209</v>
      </c>
      <c r="B187" t="s">
        <v>23</v>
      </c>
      <c r="C187">
        <v>7</v>
      </c>
      <c r="D187">
        <v>5</v>
      </c>
      <c r="E187" t="s">
        <v>21</v>
      </c>
      <c r="F187">
        <v>72.3</v>
      </c>
      <c r="G187">
        <v>39</v>
      </c>
      <c r="H187" t="s">
        <v>34</v>
      </c>
      <c r="I187" t="s">
        <v>21</v>
      </c>
      <c r="J187" t="s">
        <v>25</v>
      </c>
      <c r="K187">
        <v>72.3</v>
      </c>
      <c r="L187" t="s">
        <v>16</v>
      </c>
      <c r="M187" t="s">
        <v>16</v>
      </c>
      <c r="N187" t="s">
        <v>923</v>
      </c>
      <c r="O187">
        <f>_xlfn.XLOOKUP(customer_satisfaction_cleaned[[#This Row],[Product Category]],Table2[Product Category],Table2[Delivery SLA (Days)],"NA",0)</f>
        <v>7</v>
      </c>
      <c r="P1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8" spans="1:16" x14ac:dyDescent="0.2">
      <c r="A188" t="s">
        <v>70</v>
      </c>
      <c r="B188" t="s">
        <v>12</v>
      </c>
      <c r="C188">
        <v>6</v>
      </c>
      <c r="D188">
        <v>3</v>
      </c>
      <c r="E188" t="s">
        <v>21</v>
      </c>
      <c r="F188">
        <v>19786</v>
      </c>
      <c r="G188">
        <v>11</v>
      </c>
      <c r="H188" t="s">
        <v>14</v>
      </c>
      <c r="I188" t="s">
        <v>21</v>
      </c>
      <c r="J188" t="s">
        <v>15</v>
      </c>
      <c r="K188">
        <v>19786</v>
      </c>
      <c r="L188" t="s">
        <v>16</v>
      </c>
      <c r="M188" t="s">
        <v>16</v>
      </c>
      <c r="N188" t="s">
        <v>926</v>
      </c>
      <c r="O188">
        <f>_xlfn.XLOOKUP(customer_satisfaction_cleaned[[#This Row],[Product Category]],Table2[Product Category],Table2[Delivery SLA (Days)],"NA",0)</f>
        <v>5</v>
      </c>
      <c r="P1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9" spans="1:16" x14ac:dyDescent="0.2">
      <c r="A189" t="s">
        <v>210</v>
      </c>
      <c r="B189" t="s">
        <v>47</v>
      </c>
      <c r="C189">
        <v>4</v>
      </c>
      <c r="D189">
        <v>3</v>
      </c>
      <c r="E189" t="s">
        <v>13</v>
      </c>
      <c r="F189">
        <v>77.989999999999995</v>
      </c>
      <c r="G189">
        <v>43</v>
      </c>
      <c r="H189" t="s">
        <v>15</v>
      </c>
      <c r="I189" t="s">
        <v>13</v>
      </c>
      <c r="J189" t="s">
        <v>15</v>
      </c>
      <c r="K189">
        <v>77.989999999999995</v>
      </c>
      <c r="L189" t="s">
        <v>16</v>
      </c>
      <c r="M189" t="s">
        <v>16</v>
      </c>
      <c r="N189" t="s">
        <v>923</v>
      </c>
      <c r="O189">
        <f>_xlfn.XLOOKUP(customer_satisfaction_cleaned[[#This Row],[Product Category]],Table2[Product Category],Table2[Delivery SLA (Days)],"NA",0)</f>
        <v>7</v>
      </c>
      <c r="P1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0" spans="1:16" x14ac:dyDescent="0.2">
      <c r="A190" t="s">
        <v>211</v>
      </c>
      <c r="B190" t="s">
        <v>18</v>
      </c>
      <c r="C190">
        <v>6</v>
      </c>
      <c r="D190">
        <v>6</v>
      </c>
      <c r="E190" t="s">
        <v>32</v>
      </c>
      <c r="F190">
        <v>114.92</v>
      </c>
      <c r="G190">
        <v>48</v>
      </c>
      <c r="H190" t="s">
        <v>34</v>
      </c>
      <c r="I190" t="s">
        <v>13</v>
      </c>
      <c r="J190" t="s">
        <v>25</v>
      </c>
      <c r="K190">
        <v>114.92</v>
      </c>
      <c r="L190" t="s">
        <v>16</v>
      </c>
      <c r="M190" t="s">
        <v>16</v>
      </c>
      <c r="N190" t="s">
        <v>923</v>
      </c>
      <c r="O190">
        <f>_xlfn.XLOOKUP(customer_satisfaction_cleaned[[#This Row],[Product Category]],Table2[Product Category],Table2[Delivery SLA (Days)],"NA",0)</f>
        <v>10</v>
      </c>
      <c r="P1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1" spans="1:16" x14ac:dyDescent="0.2">
      <c r="A191" t="s">
        <v>212</v>
      </c>
      <c r="B191" t="s">
        <v>12</v>
      </c>
      <c r="C191">
        <v>6</v>
      </c>
      <c r="D191">
        <v>5</v>
      </c>
      <c r="E191" t="s">
        <v>29</v>
      </c>
      <c r="F191">
        <v>12.78</v>
      </c>
      <c r="G191">
        <v>33</v>
      </c>
      <c r="H191" t="s">
        <v>42</v>
      </c>
      <c r="I191" t="s">
        <v>25</v>
      </c>
      <c r="J191" t="s">
        <v>25</v>
      </c>
      <c r="K191">
        <v>12.78</v>
      </c>
      <c r="L191" t="s">
        <v>16</v>
      </c>
      <c r="M191" t="s">
        <v>16</v>
      </c>
      <c r="N191" t="s">
        <v>923</v>
      </c>
      <c r="O191">
        <f>_xlfn.XLOOKUP(customer_satisfaction_cleaned[[#This Row],[Product Category]],Table2[Product Category],Table2[Delivery SLA (Days)],"NA",0)</f>
        <v>5</v>
      </c>
      <c r="P1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2" spans="1:16" x14ac:dyDescent="0.2">
      <c r="A192" t="s">
        <v>213</v>
      </c>
      <c r="B192" t="s">
        <v>18</v>
      </c>
      <c r="C192">
        <v>9</v>
      </c>
      <c r="D192">
        <v>4</v>
      </c>
      <c r="E192" t="s">
        <v>19</v>
      </c>
      <c r="F192">
        <v>29.9</v>
      </c>
      <c r="G192">
        <v>29</v>
      </c>
      <c r="H192" t="s">
        <v>44</v>
      </c>
      <c r="I192" t="s">
        <v>21</v>
      </c>
      <c r="J192" t="s">
        <v>20</v>
      </c>
      <c r="K192">
        <v>29.9</v>
      </c>
      <c r="L192" t="s">
        <v>16</v>
      </c>
      <c r="M192" t="s">
        <v>16</v>
      </c>
      <c r="N192" t="s">
        <v>924</v>
      </c>
      <c r="O192">
        <f>_xlfn.XLOOKUP(customer_satisfaction_cleaned[[#This Row],[Product Category]],Table2[Product Category],Table2[Delivery SLA (Days)],"NA",0)</f>
        <v>10</v>
      </c>
      <c r="P1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3" spans="1:16" x14ac:dyDescent="0.2">
      <c r="A193" t="s">
        <v>214</v>
      </c>
      <c r="B193" t="s">
        <v>23</v>
      </c>
      <c r="C193">
        <v>8</v>
      </c>
      <c r="E193" t="s">
        <v>29</v>
      </c>
      <c r="F193">
        <v>99.49</v>
      </c>
      <c r="G193">
        <v>53</v>
      </c>
      <c r="H193" t="s">
        <v>24</v>
      </c>
      <c r="I193" t="s">
        <v>25</v>
      </c>
      <c r="J193" t="s">
        <v>25</v>
      </c>
      <c r="K193">
        <v>99.49</v>
      </c>
      <c r="L193" t="s">
        <v>16</v>
      </c>
      <c r="M193" t="s">
        <v>937</v>
      </c>
      <c r="N193" t="s">
        <v>923</v>
      </c>
      <c r="O193">
        <f>_xlfn.XLOOKUP(customer_satisfaction_cleaned[[#This Row],[Product Category]],Table2[Product Category],Table2[Delivery SLA (Days)],"NA",0)</f>
        <v>7</v>
      </c>
      <c r="P1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94" spans="1:16" x14ac:dyDescent="0.2">
      <c r="A194" t="s">
        <v>215</v>
      </c>
      <c r="B194" t="s">
        <v>23</v>
      </c>
      <c r="C194">
        <v>8</v>
      </c>
      <c r="D194">
        <v>6</v>
      </c>
      <c r="E194" t="s">
        <v>13</v>
      </c>
      <c r="F194">
        <v>118.07</v>
      </c>
      <c r="G194">
        <v>25</v>
      </c>
      <c r="H194" t="s">
        <v>44</v>
      </c>
      <c r="I194" t="s">
        <v>13</v>
      </c>
      <c r="J194" t="s">
        <v>20</v>
      </c>
      <c r="K194">
        <v>118.07</v>
      </c>
      <c r="L194" t="s">
        <v>16</v>
      </c>
      <c r="M194" t="s">
        <v>16</v>
      </c>
      <c r="N194" t="s">
        <v>924</v>
      </c>
      <c r="O194">
        <f>_xlfn.XLOOKUP(customer_satisfaction_cleaned[[#This Row],[Product Category]],Table2[Product Category],Table2[Delivery SLA (Days)],"NA",0)</f>
        <v>7</v>
      </c>
      <c r="P1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5" spans="1:16" x14ac:dyDescent="0.2">
      <c r="A195" t="s">
        <v>216</v>
      </c>
      <c r="B195" t="s">
        <v>18</v>
      </c>
      <c r="C195">
        <v>6</v>
      </c>
      <c r="D195">
        <v>5</v>
      </c>
      <c r="E195" t="s">
        <v>34</v>
      </c>
      <c r="F195">
        <v>157.09</v>
      </c>
      <c r="G195">
        <v>68</v>
      </c>
      <c r="H195" t="s">
        <v>20</v>
      </c>
      <c r="I195" t="s">
        <v>25</v>
      </c>
      <c r="J195" t="s">
        <v>20</v>
      </c>
      <c r="K195">
        <v>157.09</v>
      </c>
      <c r="L195" t="s">
        <v>16</v>
      </c>
      <c r="M195" t="s">
        <v>16</v>
      </c>
      <c r="N195" t="s">
        <v>925</v>
      </c>
      <c r="O195">
        <f>_xlfn.XLOOKUP(customer_satisfaction_cleaned[[#This Row],[Product Category]],Table2[Product Category],Table2[Delivery SLA (Days)],"NA",0)</f>
        <v>10</v>
      </c>
      <c r="P1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6" spans="1:16" x14ac:dyDescent="0.2">
      <c r="A196" t="s">
        <v>217</v>
      </c>
      <c r="B196" t="s">
        <v>47</v>
      </c>
      <c r="C196">
        <v>3</v>
      </c>
      <c r="D196">
        <v>5</v>
      </c>
      <c r="E196" t="s">
        <v>13</v>
      </c>
      <c r="F196">
        <v>157.19</v>
      </c>
      <c r="G196">
        <v>33</v>
      </c>
      <c r="H196" t="s">
        <v>34</v>
      </c>
      <c r="I196" t="s">
        <v>13</v>
      </c>
      <c r="J196" t="s">
        <v>25</v>
      </c>
      <c r="K196">
        <v>157.19</v>
      </c>
      <c r="L196" t="s">
        <v>16</v>
      </c>
      <c r="M196" t="s">
        <v>16</v>
      </c>
      <c r="N196" t="s">
        <v>923</v>
      </c>
      <c r="O196">
        <f>_xlfn.XLOOKUP(customer_satisfaction_cleaned[[#This Row],[Product Category]],Table2[Product Category],Table2[Delivery SLA (Days)],"NA",0)</f>
        <v>7</v>
      </c>
      <c r="P1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7" spans="1:16" x14ac:dyDescent="0.2">
      <c r="A197" t="s">
        <v>218</v>
      </c>
      <c r="B197" t="s">
        <v>18</v>
      </c>
      <c r="C197">
        <v>7</v>
      </c>
      <c r="D197">
        <v>7</v>
      </c>
      <c r="E197" t="s">
        <v>19</v>
      </c>
      <c r="F197">
        <v>222.23</v>
      </c>
      <c r="G197">
        <v>36</v>
      </c>
      <c r="H197" t="s">
        <v>15</v>
      </c>
      <c r="I197" t="s">
        <v>21</v>
      </c>
      <c r="J197" t="s">
        <v>15</v>
      </c>
      <c r="K197">
        <v>222.23</v>
      </c>
      <c r="L197" t="s">
        <v>16</v>
      </c>
      <c r="M197" t="s">
        <v>16</v>
      </c>
      <c r="N197" t="s">
        <v>923</v>
      </c>
      <c r="O197">
        <f>_xlfn.XLOOKUP(customer_satisfaction_cleaned[[#This Row],[Product Category]],Table2[Product Category],Table2[Delivery SLA (Days)],"NA",0)</f>
        <v>10</v>
      </c>
      <c r="P1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8" spans="1:16" x14ac:dyDescent="0.2">
      <c r="A198" t="s">
        <v>219</v>
      </c>
      <c r="B198" t="s">
        <v>12</v>
      </c>
      <c r="C198">
        <v>6</v>
      </c>
      <c r="D198">
        <v>5</v>
      </c>
      <c r="E198" t="s">
        <v>29</v>
      </c>
      <c r="F198">
        <v>136.44999999999999</v>
      </c>
      <c r="G198">
        <v>30</v>
      </c>
      <c r="H198" t="s">
        <v>20</v>
      </c>
      <c r="I198" t="s">
        <v>25</v>
      </c>
      <c r="J198" t="s">
        <v>20</v>
      </c>
      <c r="K198">
        <v>136.44999999999999</v>
      </c>
      <c r="L198" t="s">
        <v>16</v>
      </c>
      <c r="M198" t="s">
        <v>16</v>
      </c>
      <c r="N198" t="s">
        <v>923</v>
      </c>
      <c r="O198">
        <f>_xlfn.XLOOKUP(customer_satisfaction_cleaned[[#This Row],[Product Category]],Table2[Product Category],Table2[Delivery SLA (Days)],"NA",0)</f>
        <v>5</v>
      </c>
      <c r="P1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9" spans="1:16" x14ac:dyDescent="0.2">
      <c r="A199" t="s">
        <v>220</v>
      </c>
      <c r="B199" t="s">
        <v>47</v>
      </c>
      <c r="C199">
        <v>7</v>
      </c>
      <c r="D199">
        <v>6</v>
      </c>
      <c r="E199" t="s">
        <v>32</v>
      </c>
      <c r="F199">
        <v>163.46</v>
      </c>
      <c r="G199">
        <v>28</v>
      </c>
      <c r="H199" t="s">
        <v>14</v>
      </c>
      <c r="I199" t="s">
        <v>13</v>
      </c>
      <c r="J199" t="s">
        <v>15</v>
      </c>
      <c r="K199">
        <v>163.46</v>
      </c>
      <c r="L199" t="s">
        <v>16</v>
      </c>
      <c r="M199" t="s">
        <v>16</v>
      </c>
      <c r="N199" t="s">
        <v>924</v>
      </c>
      <c r="O199">
        <f>_xlfn.XLOOKUP(customer_satisfaction_cleaned[[#This Row],[Product Category]],Table2[Product Category],Table2[Delivery SLA (Days)],"NA",0)</f>
        <v>7</v>
      </c>
      <c r="P1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0" spans="1:16" x14ac:dyDescent="0.2">
      <c r="A200" t="s">
        <v>221</v>
      </c>
      <c r="B200" t="s">
        <v>47</v>
      </c>
      <c r="C200">
        <v>12</v>
      </c>
      <c r="E200" t="s">
        <v>21</v>
      </c>
      <c r="F200">
        <v>143.26</v>
      </c>
      <c r="G200">
        <v>48</v>
      </c>
      <c r="H200" t="s">
        <v>29</v>
      </c>
      <c r="I200" t="s">
        <v>21</v>
      </c>
      <c r="J200" t="s">
        <v>25</v>
      </c>
      <c r="K200">
        <v>143.26</v>
      </c>
      <c r="L200" t="s">
        <v>16</v>
      </c>
      <c r="M200" t="s">
        <v>937</v>
      </c>
      <c r="N200" t="s">
        <v>923</v>
      </c>
      <c r="O200">
        <f>_xlfn.XLOOKUP(customer_satisfaction_cleaned[[#This Row],[Product Category]],Table2[Product Category],Table2[Delivery SLA (Days)],"NA",0)</f>
        <v>7</v>
      </c>
      <c r="P2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01" spans="1:16" x14ac:dyDescent="0.2">
      <c r="A201" t="s">
        <v>222</v>
      </c>
      <c r="B201" t="s">
        <v>18</v>
      </c>
      <c r="C201">
        <v>7</v>
      </c>
      <c r="D201">
        <v>4</v>
      </c>
      <c r="E201" t="s">
        <v>34</v>
      </c>
      <c r="F201">
        <v>114.31</v>
      </c>
      <c r="G201">
        <v>58</v>
      </c>
      <c r="H201" t="s">
        <v>29</v>
      </c>
      <c r="I201" t="s">
        <v>25</v>
      </c>
      <c r="J201" t="s">
        <v>25</v>
      </c>
      <c r="K201">
        <v>114.31</v>
      </c>
      <c r="L201" t="s">
        <v>16</v>
      </c>
      <c r="M201" t="s">
        <v>16</v>
      </c>
      <c r="N201" t="s">
        <v>923</v>
      </c>
      <c r="O201">
        <f>_xlfn.XLOOKUP(customer_satisfaction_cleaned[[#This Row],[Product Category]],Table2[Product Category],Table2[Delivery SLA (Days)],"NA",0)</f>
        <v>10</v>
      </c>
      <c r="P2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2" spans="1:16" x14ac:dyDescent="0.2">
      <c r="A202" t="s">
        <v>223</v>
      </c>
      <c r="B202" t="s">
        <v>18</v>
      </c>
      <c r="C202">
        <v>6</v>
      </c>
      <c r="D202">
        <v>7</v>
      </c>
      <c r="E202" t="s">
        <v>29</v>
      </c>
      <c r="F202">
        <v>23.64</v>
      </c>
      <c r="H202" t="s">
        <v>24</v>
      </c>
      <c r="I202" t="s">
        <v>25</v>
      </c>
      <c r="J202" t="s">
        <v>25</v>
      </c>
      <c r="K202">
        <v>23.64</v>
      </c>
      <c r="L202" t="s">
        <v>16</v>
      </c>
      <c r="M202" t="s">
        <v>16</v>
      </c>
      <c r="N202" t="s">
        <v>922</v>
      </c>
      <c r="O202">
        <f>_xlfn.XLOOKUP(customer_satisfaction_cleaned[[#This Row],[Product Category]],Table2[Product Category],Table2[Delivery SLA (Days)],"NA",0)</f>
        <v>10</v>
      </c>
      <c r="P2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3" spans="1:16" x14ac:dyDescent="0.2">
      <c r="A203" t="s">
        <v>224</v>
      </c>
      <c r="B203" t="s">
        <v>47</v>
      </c>
      <c r="D203">
        <v>5</v>
      </c>
      <c r="E203" t="s">
        <v>32</v>
      </c>
      <c r="F203">
        <v>137.02000000000001</v>
      </c>
      <c r="G203">
        <v>25</v>
      </c>
      <c r="H203" t="s">
        <v>44</v>
      </c>
      <c r="I203" t="s">
        <v>13</v>
      </c>
      <c r="J203" t="s">
        <v>20</v>
      </c>
      <c r="K203">
        <v>137.02000000000001</v>
      </c>
      <c r="L203" t="s">
        <v>936</v>
      </c>
      <c r="M203" t="s">
        <v>16</v>
      </c>
      <c r="N203" t="s">
        <v>924</v>
      </c>
      <c r="O203">
        <f>_xlfn.XLOOKUP(customer_satisfaction_cleaned[[#This Row],[Product Category]],Table2[Product Category],Table2[Delivery SLA (Days)],"NA",0)</f>
        <v>7</v>
      </c>
      <c r="P2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4" spans="1:16" x14ac:dyDescent="0.2">
      <c r="A204" t="s">
        <v>225</v>
      </c>
      <c r="B204" t="s">
        <v>18</v>
      </c>
      <c r="C204">
        <v>9</v>
      </c>
      <c r="D204">
        <v>6</v>
      </c>
      <c r="E204" t="s">
        <v>13</v>
      </c>
      <c r="F204">
        <v>42.27</v>
      </c>
      <c r="G204">
        <v>45</v>
      </c>
      <c r="H204" t="s">
        <v>14</v>
      </c>
      <c r="I204" t="s">
        <v>13</v>
      </c>
      <c r="J204" t="s">
        <v>15</v>
      </c>
      <c r="K204">
        <v>42.27</v>
      </c>
      <c r="L204" t="s">
        <v>16</v>
      </c>
      <c r="M204" t="s">
        <v>16</v>
      </c>
      <c r="N204" t="s">
        <v>923</v>
      </c>
      <c r="O204">
        <f>_xlfn.XLOOKUP(customer_satisfaction_cleaned[[#This Row],[Product Category]],Table2[Product Category],Table2[Delivery SLA (Days)],"NA",0)</f>
        <v>10</v>
      </c>
      <c r="P2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5" spans="1:16" x14ac:dyDescent="0.2">
      <c r="A205" t="s">
        <v>226</v>
      </c>
      <c r="B205" t="s">
        <v>12</v>
      </c>
      <c r="C205">
        <v>4</v>
      </c>
      <c r="D205">
        <v>3</v>
      </c>
      <c r="E205" t="s">
        <v>21</v>
      </c>
      <c r="F205">
        <v>82.59</v>
      </c>
      <c r="G205">
        <v>19</v>
      </c>
      <c r="H205" t="s">
        <v>14</v>
      </c>
      <c r="I205" t="s">
        <v>21</v>
      </c>
      <c r="J205" t="s">
        <v>15</v>
      </c>
      <c r="K205">
        <v>82.59</v>
      </c>
      <c r="L205" t="s">
        <v>16</v>
      </c>
      <c r="M205" t="s">
        <v>16</v>
      </c>
      <c r="N205" t="s">
        <v>924</v>
      </c>
      <c r="O205">
        <f>_xlfn.XLOOKUP(customer_satisfaction_cleaned[[#This Row],[Product Category]],Table2[Product Category],Table2[Delivery SLA (Days)],"NA",0)</f>
        <v>5</v>
      </c>
      <c r="P2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6" spans="1:16" x14ac:dyDescent="0.2">
      <c r="A206" t="s">
        <v>227</v>
      </c>
      <c r="B206" t="s">
        <v>18</v>
      </c>
      <c r="C206">
        <v>8</v>
      </c>
      <c r="D206">
        <v>7</v>
      </c>
      <c r="E206" t="s">
        <v>13</v>
      </c>
      <c r="F206">
        <v>150.91</v>
      </c>
      <c r="H206" t="s">
        <v>20</v>
      </c>
      <c r="I206" t="s">
        <v>13</v>
      </c>
      <c r="J206" t="s">
        <v>20</v>
      </c>
      <c r="K206">
        <v>150.91</v>
      </c>
      <c r="L206" t="s">
        <v>16</v>
      </c>
      <c r="M206" t="s">
        <v>16</v>
      </c>
      <c r="N206" t="s">
        <v>922</v>
      </c>
      <c r="O206">
        <f>_xlfn.XLOOKUP(customer_satisfaction_cleaned[[#This Row],[Product Category]],Table2[Product Category],Table2[Delivery SLA (Days)],"NA",0)</f>
        <v>10</v>
      </c>
      <c r="P2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7" spans="1:16" x14ac:dyDescent="0.2">
      <c r="A207" t="s">
        <v>228</v>
      </c>
      <c r="B207" t="s">
        <v>18</v>
      </c>
      <c r="C207">
        <v>9</v>
      </c>
      <c r="D207">
        <v>3</v>
      </c>
      <c r="E207" t="s">
        <v>21</v>
      </c>
      <c r="F207">
        <v>69.05</v>
      </c>
      <c r="G207">
        <v>25</v>
      </c>
      <c r="H207" t="s">
        <v>42</v>
      </c>
      <c r="I207" t="s">
        <v>21</v>
      </c>
      <c r="J207" t="s">
        <v>25</v>
      </c>
      <c r="K207">
        <v>69.05</v>
      </c>
      <c r="L207" t="s">
        <v>16</v>
      </c>
      <c r="M207" t="s">
        <v>16</v>
      </c>
      <c r="N207" t="s">
        <v>924</v>
      </c>
      <c r="O207">
        <f>_xlfn.XLOOKUP(customer_satisfaction_cleaned[[#This Row],[Product Category]],Table2[Product Category],Table2[Delivery SLA (Days)],"NA",0)</f>
        <v>10</v>
      </c>
      <c r="P2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8" spans="1:16" x14ac:dyDescent="0.2">
      <c r="A208" t="s">
        <v>229</v>
      </c>
      <c r="B208" t="s">
        <v>23</v>
      </c>
      <c r="C208">
        <v>7</v>
      </c>
      <c r="D208">
        <v>6</v>
      </c>
      <c r="E208" t="s">
        <v>21</v>
      </c>
      <c r="F208">
        <v>104.04</v>
      </c>
      <c r="G208">
        <v>44</v>
      </c>
      <c r="H208" t="s">
        <v>42</v>
      </c>
      <c r="I208" t="s">
        <v>21</v>
      </c>
      <c r="J208" t="s">
        <v>25</v>
      </c>
      <c r="K208">
        <v>104.04</v>
      </c>
      <c r="L208" t="s">
        <v>16</v>
      </c>
      <c r="M208" t="s">
        <v>16</v>
      </c>
      <c r="N208" t="s">
        <v>923</v>
      </c>
      <c r="O208">
        <f>_xlfn.XLOOKUP(customer_satisfaction_cleaned[[#This Row],[Product Category]],Table2[Product Category],Table2[Delivery SLA (Days)],"NA",0)</f>
        <v>7</v>
      </c>
      <c r="P2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9" spans="1:16" x14ac:dyDescent="0.2">
      <c r="A209" t="s">
        <v>230</v>
      </c>
      <c r="B209" t="s">
        <v>36</v>
      </c>
      <c r="C209">
        <v>7</v>
      </c>
      <c r="D209">
        <v>6</v>
      </c>
      <c r="E209" t="s">
        <v>19</v>
      </c>
      <c r="F209">
        <v>83.45</v>
      </c>
      <c r="G209">
        <v>32</v>
      </c>
      <c r="H209" t="s">
        <v>20</v>
      </c>
      <c r="I209" t="s">
        <v>21</v>
      </c>
      <c r="J209" t="s">
        <v>20</v>
      </c>
      <c r="K209">
        <v>83.45</v>
      </c>
      <c r="L209" t="s">
        <v>16</v>
      </c>
      <c r="M209" t="s">
        <v>16</v>
      </c>
      <c r="N209" t="s">
        <v>923</v>
      </c>
      <c r="O209" t="str">
        <f>_xlfn.XLOOKUP(customer_satisfaction_cleaned[[#This Row],[Product Category]],Table2[Product Category],Table2[Delivery SLA (Days)],"NA",0)</f>
        <v>NA</v>
      </c>
      <c r="P2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10" spans="1:16" x14ac:dyDescent="0.2">
      <c r="A210" t="s">
        <v>231</v>
      </c>
      <c r="B210" t="s">
        <v>47</v>
      </c>
      <c r="C210">
        <v>6</v>
      </c>
      <c r="D210">
        <v>7</v>
      </c>
      <c r="E210" t="s">
        <v>13</v>
      </c>
      <c r="F210">
        <v>85.56</v>
      </c>
      <c r="G210">
        <v>68</v>
      </c>
      <c r="H210" t="s">
        <v>29</v>
      </c>
      <c r="I210" t="s">
        <v>13</v>
      </c>
      <c r="J210" t="s">
        <v>25</v>
      </c>
      <c r="K210">
        <v>85.56</v>
      </c>
      <c r="L210" t="s">
        <v>16</v>
      </c>
      <c r="M210" t="s">
        <v>16</v>
      </c>
      <c r="N210" t="s">
        <v>925</v>
      </c>
      <c r="O210">
        <f>_xlfn.XLOOKUP(customer_satisfaction_cleaned[[#This Row],[Product Category]],Table2[Product Category],Table2[Delivery SLA (Days)],"NA",0)</f>
        <v>7</v>
      </c>
      <c r="P2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1" spans="1:16" x14ac:dyDescent="0.2">
      <c r="A211" t="s">
        <v>232</v>
      </c>
      <c r="B211" t="s">
        <v>18</v>
      </c>
      <c r="C211">
        <v>6</v>
      </c>
      <c r="D211">
        <v>4</v>
      </c>
      <c r="E211" t="s">
        <v>13</v>
      </c>
      <c r="F211">
        <v>36.479999999999997</v>
      </c>
      <c r="G211">
        <v>26</v>
      </c>
      <c r="H211" t="s">
        <v>42</v>
      </c>
      <c r="I211" t="s">
        <v>13</v>
      </c>
      <c r="J211" t="s">
        <v>25</v>
      </c>
      <c r="K211">
        <v>36.479999999999997</v>
      </c>
      <c r="L211" t="s">
        <v>16</v>
      </c>
      <c r="M211" t="s">
        <v>16</v>
      </c>
      <c r="N211" t="s">
        <v>924</v>
      </c>
      <c r="O211">
        <f>_xlfn.XLOOKUP(customer_satisfaction_cleaned[[#This Row],[Product Category]],Table2[Product Category],Table2[Delivery SLA (Days)],"NA",0)</f>
        <v>10</v>
      </c>
      <c r="P2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2" spans="1:16" x14ac:dyDescent="0.2">
      <c r="A212" t="s">
        <v>233</v>
      </c>
      <c r="B212" t="s">
        <v>18</v>
      </c>
      <c r="C212">
        <v>9</v>
      </c>
      <c r="D212">
        <v>2</v>
      </c>
      <c r="E212" t="s">
        <v>34</v>
      </c>
      <c r="F212">
        <v>170.25</v>
      </c>
      <c r="H212" t="s">
        <v>14</v>
      </c>
      <c r="I212" t="s">
        <v>25</v>
      </c>
      <c r="J212" t="s">
        <v>15</v>
      </c>
      <c r="K212">
        <v>170.25</v>
      </c>
      <c r="L212" t="s">
        <v>16</v>
      </c>
      <c r="M212" t="s">
        <v>16</v>
      </c>
      <c r="N212" t="s">
        <v>922</v>
      </c>
      <c r="O212">
        <f>_xlfn.XLOOKUP(customer_satisfaction_cleaned[[#This Row],[Product Category]],Table2[Product Category],Table2[Delivery SLA (Days)],"NA",0)</f>
        <v>10</v>
      </c>
      <c r="P2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3" spans="1:16" x14ac:dyDescent="0.2">
      <c r="A213" t="s">
        <v>234</v>
      </c>
      <c r="B213" t="s">
        <v>23</v>
      </c>
      <c r="C213">
        <v>6</v>
      </c>
      <c r="D213">
        <v>4</v>
      </c>
      <c r="E213" t="s">
        <v>21</v>
      </c>
      <c r="F213">
        <v>118.94</v>
      </c>
      <c r="G213">
        <v>50</v>
      </c>
      <c r="H213" t="s">
        <v>42</v>
      </c>
      <c r="I213" t="s">
        <v>21</v>
      </c>
      <c r="J213" t="s">
        <v>25</v>
      </c>
      <c r="K213">
        <v>118.94</v>
      </c>
      <c r="L213" t="s">
        <v>16</v>
      </c>
      <c r="M213" t="s">
        <v>16</v>
      </c>
      <c r="N213" t="s">
        <v>923</v>
      </c>
      <c r="O213">
        <f>_xlfn.XLOOKUP(customer_satisfaction_cleaned[[#This Row],[Product Category]],Table2[Product Category],Table2[Delivery SLA (Days)],"NA",0)</f>
        <v>7</v>
      </c>
      <c r="P2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4" spans="1:16" x14ac:dyDescent="0.2">
      <c r="A214" t="s">
        <v>235</v>
      </c>
      <c r="B214" t="s">
        <v>12</v>
      </c>
      <c r="C214">
        <v>6</v>
      </c>
      <c r="D214">
        <v>6</v>
      </c>
      <c r="E214" t="s">
        <v>19</v>
      </c>
      <c r="F214">
        <v>67.89</v>
      </c>
      <c r="G214">
        <v>32</v>
      </c>
      <c r="H214" t="s">
        <v>20</v>
      </c>
      <c r="I214" t="s">
        <v>21</v>
      </c>
      <c r="J214" t="s">
        <v>20</v>
      </c>
      <c r="K214">
        <v>67.89</v>
      </c>
      <c r="L214" t="s">
        <v>16</v>
      </c>
      <c r="M214" t="s">
        <v>16</v>
      </c>
      <c r="N214" t="s">
        <v>923</v>
      </c>
      <c r="O214">
        <f>_xlfn.XLOOKUP(customer_satisfaction_cleaned[[#This Row],[Product Category]],Table2[Product Category],Table2[Delivery SLA (Days)],"NA",0)</f>
        <v>5</v>
      </c>
      <c r="P2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15" spans="1:16" x14ac:dyDescent="0.2">
      <c r="A215" t="s">
        <v>236</v>
      </c>
      <c r="B215" t="s">
        <v>23</v>
      </c>
      <c r="C215">
        <v>8</v>
      </c>
      <c r="D215">
        <v>5</v>
      </c>
      <c r="E215" t="s">
        <v>13</v>
      </c>
      <c r="F215">
        <v>63.9</v>
      </c>
      <c r="G215">
        <v>67</v>
      </c>
      <c r="H215" t="s">
        <v>15</v>
      </c>
      <c r="I215" t="s">
        <v>13</v>
      </c>
      <c r="J215" t="s">
        <v>15</v>
      </c>
      <c r="K215">
        <v>63.9</v>
      </c>
      <c r="L215" t="s">
        <v>16</v>
      </c>
      <c r="M215" t="s">
        <v>16</v>
      </c>
      <c r="N215" t="s">
        <v>925</v>
      </c>
      <c r="O215">
        <f>_xlfn.XLOOKUP(customer_satisfaction_cleaned[[#This Row],[Product Category]],Table2[Product Category],Table2[Delivery SLA (Days)],"NA",0)</f>
        <v>7</v>
      </c>
      <c r="P2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6" spans="1:16" x14ac:dyDescent="0.2">
      <c r="A216" t="s">
        <v>237</v>
      </c>
      <c r="B216" t="s">
        <v>18</v>
      </c>
      <c r="C216">
        <v>4</v>
      </c>
      <c r="D216">
        <v>5</v>
      </c>
      <c r="E216" t="s">
        <v>21</v>
      </c>
      <c r="F216">
        <v>113.18</v>
      </c>
      <c r="G216">
        <v>53</v>
      </c>
      <c r="H216" t="s">
        <v>20</v>
      </c>
      <c r="I216" t="s">
        <v>21</v>
      </c>
      <c r="J216" t="s">
        <v>20</v>
      </c>
      <c r="K216">
        <v>113.18</v>
      </c>
      <c r="L216" t="s">
        <v>16</v>
      </c>
      <c r="M216" t="s">
        <v>16</v>
      </c>
      <c r="N216" t="s">
        <v>923</v>
      </c>
      <c r="O216">
        <f>_xlfn.XLOOKUP(customer_satisfaction_cleaned[[#This Row],[Product Category]],Table2[Product Category],Table2[Delivery SLA (Days)],"NA",0)</f>
        <v>10</v>
      </c>
      <c r="P2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7" spans="1:16" x14ac:dyDescent="0.2">
      <c r="A217" t="s">
        <v>238</v>
      </c>
      <c r="B217" t="s">
        <v>12</v>
      </c>
      <c r="C217">
        <v>7</v>
      </c>
      <c r="D217">
        <v>3</v>
      </c>
      <c r="E217" t="s">
        <v>32</v>
      </c>
      <c r="F217">
        <v>205.18</v>
      </c>
      <c r="G217">
        <v>45</v>
      </c>
      <c r="H217" t="s">
        <v>29</v>
      </c>
      <c r="I217" t="s">
        <v>13</v>
      </c>
      <c r="J217" t="s">
        <v>25</v>
      </c>
      <c r="K217">
        <v>205.18</v>
      </c>
      <c r="L217" t="s">
        <v>16</v>
      </c>
      <c r="M217" t="s">
        <v>16</v>
      </c>
      <c r="N217" t="s">
        <v>923</v>
      </c>
      <c r="O217">
        <f>_xlfn.XLOOKUP(customer_satisfaction_cleaned[[#This Row],[Product Category]],Table2[Product Category],Table2[Delivery SLA (Days)],"NA",0)</f>
        <v>5</v>
      </c>
      <c r="P2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8" spans="1:16" x14ac:dyDescent="0.2">
      <c r="A218" t="s">
        <v>239</v>
      </c>
      <c r="B218" t="s">
        <v>23</v>
      </c>
      <c r="C218">
        <v>7</v>
      </c>
      <c r="D218">
        <v>4</v>
      </c>
      <c r="E218" t="s">
        <v>29</v>
      </c>
      <c r="F218">
        <v>158.25</v>
      </c>
      <c r="G218">
        <v>7</v>
      </c>
      <c r="H218" t="s">
        <v>14</v>
      </c>
      <c r="I218" t="s">
        <v>25</v>
      </c>
      <c r="J218" t="s">
        <v>15</v>
      </c>
      <c r="K218">
        <v>158.25</v>
      </c>
      <c r="L218" t="s">
        <v>16</v>
      </c>
      <c r="M218" t="s">
        <v>16</v>
      </c>
      <c r="N218" t="s">
        <v>926</v>
      </c>
      <c r="O218">
        <f>_xlfn.XLOOKUP(customer_satisfaction_cleaned[[#This Row],[Product Category]],Table2[Product Category],Table2[Delivery SLA (Days)],"NA",0)</f>
        <v>7</v>
      </c>
      <c r="P2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9" spans="1:16" x14ac:dyDescent="0.2">
      <c r="A219" t="s">
        <v>240</v>
      </c>
      <c r="B219" t="s">
        <v>12</v>
      </c>
      <c r="C219">
        <v>5</v>
      </c>
      <c r="D219">
        <v>6</v>
      </c>
      <c r="E219" t="s">
        <v>32</v>
      </c>
      <c r="F219">
        <v>64.66</v>
      </c>
      <c r="G219">
        <v>33</v>
      </c>
      <c r="H219" t="s">
        <v>34</v>
      </c>
      <c r="I219" t="s">
        <v>13</v>
      </c>
      <c r="J219" t="s">
        <v>25</v>
      </c>
      <c r="K219">
        <v>64.66</v>
      </c>
      <c r="L219" t="s">
        <v>16</v>
      </c>
      <c r="M219" t="s">
        <v>16</v>
      </c>
      <c r="N219" t="s">
        <v>923</v>
      </c>
      <c r="O219">
        <f>_xlfn.XLOOKUP(customer_satisfaction_cleaned[[#This Row],[Product Category]],Table2[Product Category],Table2[Delivery SLA (Days)],"NA",0)</f>
        <v>5</v>
      </c>
      <c r="P2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20" spans="1:16" x14ac:dyDescent="0.2">
      <c r="A220" t="s">
        <v>241</v>
      </c>
      <c r="B220" t="s">
        <v>18</v>
      </c>
      <c r="C220">
        <v>8</v>
      </c>
      <c r="D220">
        <v>5</v>
      </c>
      <c r="E220" t="s">
        <v>29</v>
      </c>
      <c r="F220">
        <v>44.5</v>
      </c>
      <c r="G220">
        <v>36</v>
      </c>
      <c r="H220" t="s">
        <v>29</v>
      </c>
      <c r="I220" t="s">
        <v>25</v>
      </c>
      <c r="J220" t="s">
        <v>25</v>
      </c>
      <c r="K220">
        <v>44.5</v>
      </c>
      <c r="L220" t="s">
        <v>16</v>
      </c>
      <c r="M220" t="s">
        <v>16</v>
      </c>
      <c r="N220" t="s">
        <v>923</v>
      </c>
      <c r="O220">
        <f>_xlfn.XLOOKUP(customer_satisfaction_cleaned[[#This Row],[Product Category]],Table2[Product Category],Table2[Delivery SLA (Days)],"NA",0)</f>
        <v>10</v>
      </c>
      <c r="P2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1" spans="1:16" x14ac:dyDescent="0.2">
      <c r="A221" t="s">
        <v>242</v>
      </c>
      <c r="B221" t="s">
        <v>36</v>
      </c>
      <c r="C221">
        <v>8</v>
      </c>
      <c r="D221">
        <v>8</v>
      </c>
      <c r="E221" t="s">
        <v>21</v>
      </c>
      <c r="F221">
        <v>46.1</v>
      </c>
      <c r="G221">
        <v>71</v>
      </c>
      <c r="H221" t="s">
        <v>14</v>
      </c>
      <c r="I221" t="s">
        <v>21</v>
      </c>
      <c r="J221" t="s">
        <v>15</v>
      </c>
      <c r="K221">
        <v>46.1</v>
      </c>
      <c r="L221" t="s">
        <v>16</v>
      </c>
      <c r="M221" t="s">
        <v>16</v>
      </c>
      <c r="N221" t="s">
        <v>925</v>
      </c>
      <c r="O221" t="str">
        <f>_xlfn.XLOOKUP(customer_satisfaction_cleaned[[#This Row],[Product Category]],Table2[Product Category],Table2[Delivery SLA (Days)],"NA",0)</f>
        <v>NA</v>
      </c>
      <c r="P2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22" spans="1:16" x14ac:dyDescent="0.2">
      <c r="A222" t="s">
        <v>243</v>
      </c>
      <c r="B222" t="s">
        <v>47</v>
      </c>
      <c r="C222">
        <v>10</v>
      </c>
      <c r="D222">
        <v>4</v>
      </c>
      <c r="E222" t="s">
        <v>21</v>
      </c>
      <c r="F222">
        <v>160.05000000000001</v>
      </c>
      <c r="G222">
        <v>34</v>
      </c>
      <c r="H222" t="s">
        <v>44</v>
      </c>
      <c r="I222" t="s">
        <v>21</v>
      </c>
      <c r="J222" t="s">
        <v>20</v>
      </c>
      <c r="K222">
        <v>160.05000000000001</v>
      </c>
      <c r="L222" t="s">
        <v>16</v>
      </c>
      <c r="M222" t="s">
        <v>16</v>
      </c>
      <c r="N222" t="s">
        <v>923</v>
      </c>
      <c r="O222">
        <f>_xlfn.XLOOKUP(customer_satisfaction_cleaned[[#This Row],[Product Category]],Table2[Product Category],Table2[Delivery SLA (Days)],"NA",0)</f>
        <v>7</v>
      </c>
      <c r="P2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3" spans="1:16" x14ac:dyDescent="0.2">
      <c r="A223" t="s">
        <v>244</v>
      </c>
      <c r="B223" t="s">
        <v>12</v>
      </c>
      <c r="C223">
        <v>6</v>
      </c>
      <c r="D223">
        <v>8</v>
      </c>
      <c r="E223" t="s">
        <v>29</v>
      </c>
      <c r="F223">
        <v>117.22</v>
      </c>
      <c r="G223">
        <v>16</v>
      </c>
      <c r="H223" t="s">
        <v>42</v>
      </c>
      <c r="I223" t="s">
        <v>25</v>
      </c>
      <c r="J223" t="s">
        <v>25</v>
      </c>
      <c r="K223">
        <v>117.22</v>
      </c>
      <c r="L223" t="s">
        <v>16</v>
      </c>
      <c r="M223" t="s">
        <v>16</v>
      </c>
      <c r="N223" t="s">
        <v>924</v>
      </c>
      <c r="O223">
        <f>_xlfn.XLOOKUP(customer_satisfaction_cleaned[[#This Row],[Product Category]],Table2[Product Category],Table2[Delivery SLA (Days)],"NA",0)</f>
        <v>5</v>
      </c>
      <c r="P2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24" spans="1:16" x14ac:dyDescent="0.2">
      <c r="A224" t="s">
        <v>245</v>
      </c>
      <c r="B224" t="s">
        <v>18</v>
      </c>
      <c r="C224">
        <v>5</v>
      </c>
      <c r="D224">
        <v>7</v>
      </c>
      <c r="E224" t="s">
        <v>32</v>
      </c>
      <c r="F224">
        <v>59.68</v>
      </c>
      <c r="G224">
        <v>38</v>
      </c>
      <c r="H224" t="s">
        <v>44</v>
      </c>
      <c r="I224" t="s">
        <v>13</v>
      </c>
      <c r="J224" t="s">
        <v>20</v>
      </c>
      <c r="K224">
        <v>59.68</v>
      </c>
      <c r="L224" t="s">
        <v>16</v>
      </c>
      <c r="M224" t="s">
        <v>16</v>
      </c>
      <c r="N224" t="s">
        <v>923</v>
      </c>
      <c r="O224">
        <f>_xlfn.XLOOKUP(customer_satisfaction_cleaned[[#This Row],[Product Category]],Table2[Product Category],Table2[Delivery SLA (Days)],"NA",0)</f>
        <v>10</v>
      </c>
      <c r="P2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5" spans="1:16" x14ac:dyDescent="0.2">
      <c r="A225" t="s">
        <v>246</v>
      </c>
      <c r="B225" t="s">
        <v>47</v>
      </c>
      <c r="C225">
        <v>8</v>
      </c>
      <c r="D225">
        <v>5</v>
      </c>
      <c r="E225" t="s">
        <v>19</v>
      </c>
      <c r="F225">
        <v>75.760000000000005</v>
      </c>
      <c r="G225">
        <v>31</v>
      </c>
      <c r="H225" t="s">
        <v>14</v>
      </c>
      <c r="I225" t="s">
        <v>21</v>
      </c>
      <c r="J225" t="s">
        <v>15</v>
      </c>
      <c r="K225">
        <v>75.760000000000005</v>
      </c>
      <c r="L225" t="s">
        <v>16</v>
      </c>
      <c r="M225" t="s">
        <v>16</v>
      </c>
      <c r="N225" t="s">
        <v>923</v>
      </c>
      <c r="O225">
        <f>_xlfn.XLOOKUP(customer_satisfaction_cleaned[[#This Row],[Product Category]],Table2[Product Category],Table2[Delivery SLA (Days)],"NA",0)</f>
        <v>7</v>
      </c>
      <c r="P2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6" spans="1:16" x14ac:dyDescent="0.2">
      <c r="A226" t="s">
        <v>247</v>
      </c>
      <c r="B226" t="s">
        <v>47</v>
      </c>
      <c r="C226">
        <v>2</v>
      </c>
      <c r="D226">
        <v>7</v>
      </c>
      <c r="E226" t="s">
        <v>29</v>
      </c>
      <c r="F226">
        <v>68.489999999999995</v>
      </c>
      <c r="G226">
        <v>60</v>
      </c>
      <c r="H226" t="s">
        <v>29</v>
      </c>
      <c r="I226" t="s">
        <v>25</v>
      </c>
      <c r="J226" t="s">
        <v>25</v>
      </c>
      <c r="K226">
        <v>68.489999999999995</v>
      </c>
      <c r="L226" t="s">
        <v>16</v>
      </c>
      <c r="M226" t="s">
        <v>16</v>
      </c>
      <c r="N226" t="s">
        <v>925</v>
      </c>
      <c r="O226">
        <f>_xlfn.XLOOKUP(customer_satisfaction_cleaned[[#This Row],[Product Category]],Table2[Product Category],Table2[Delivery SLA (Days)],"NA",0)</f>
        <v>7</v>
      </c>
      <c r="P2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7" spans="1:16" x14ac:dyDescent="0.2">
      <c r="A227" t="s">
        <v>248</v>
      </c>
      <c r="B227" t="s">
        <v>18</v>
      </c>
      <c r="C227">
        <v>7</v>
      </c>
      <c r="D227">
        <v>5</v>
      </c>
      <c r="E227" t="s">
        <v>34</v>
      </c>
      <c r="F227">
        <v>135.86000000000001</v>
      </c>
      <c r="G227">
        <v>38</v>
      </c>
      <c r="H227" t="s">
        <v>24</v>
      </c>
      <c r="I227" t="s">
        <v>25</v>
      </c>
      <c r="J227" t="s">
        <v>25</v>
      </c>
      <c r="K227">
        <v>135.86000000000001</v>
      </c>
      <c r="L227" t="s">
        <v>16</v>
      </c>
      <c r="M227" t="s">
        <v>16</v>
      </c>
      <c r="N227" t="s">
        <v>923</v>
      </c>
      <c r="O227">
        <f>_xlfn.XLOOKUP(customer_satisfaction_cleaned[[#This Row],[Product Category]],Table2[Product Category],Table2[Delivery SLA (Days)],"NA",0)</f>
        <v>10</v>
      </c>
      <c r="P2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8" spans="1:16" x14ac:dyDescent="0.2">
      <c r="A228" t="s">
        <v>249</v>
      </c>
      <c r="B228" t="s">
        <v>18</v>
      </c>
      <c r="C228">
        <v>4</v>
      </c>
      <c r="D228">
        <v>7</v>
      </c>
      <c r="E228" t="s">
        <v>32</v>
      </c>
      <c r="F228">
        <v>111.94</v>
      </c>
      <c r="G228">
        <v>59</v>
      </c>
      <c r="H228" t="s">
        <v>20</v>
      </c>
      <c r="I228" t="s">
        <v>13</v>
      </c>
      <c r="J228" t="s">
        <v>20</v>
      </c>
      <c r="K228">
        <v>111.94</v>
      </c>
      <c r="L228" t="s">
        <v>16</v>
      </c>
      <c r="M228" t="s">
        <v>16</v>
      </c>
      <c r="N228" t="s">
        <v>923</v>
      </c>
      <c r="O228">
        <f>_xlfn.XLOOKUP(customer_satisfaction_cleaned[[#This Row],[Product Category]],Table2[Product Category],Table2[Delivery SLA (Days)],"NA",0)</f>
        <v>10</v>
      </c>
      <c r="P2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9" spans="1:16" x14ac:dyDescent="0.2">
      <c r="A229" t="s">
        <v>250</v>
      </c>
      <c r="B229" t="s">
        <v>23</v>
      </c>
      <c r="C229">
        <v>6</v>
      </c>
      <c r="D229">
        <v>5</v>
      </c>
      <c r="E229" t="s">
        <v>13</v>
      </c>
      <c r="F229">
        <v>95.83</v>
      </c>
      <c r="G229">
        <v>30</v>
      </c>
      <c r="H229" t="s">
        <v>42</v>
      </c>
      <c r="I229" t="s">
        <v>13</v>
      </c>
      <c r="J229" t="s">
        <v>25</v>
      </c>
      <c r="K229">
        <v>95.83</v>
      </c>
      <c r="L229" t="s">
        <v>16</v>
      </c>
      <c r="M229" t="s">
        <v>16</v>
      </c>
      <c r="N229" t="s">
        <v>923</v>
      </c>
      <c r="O229">
        <f>_xlfn.XLOOKUP(customer_satisfaction_cleaned[[#This Row],[Product Category]],Table2[Product Category],Table2[Delivery SLA (Days)],"NA",0)</f>
        <v>7</v>
      </c>
      <c r="P2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0" spans="1:16" x14ac:dyDescent="0.2">
      <c r="A230" t="s">
        <v>251</v>
      </c>
      <c r="B230" t="s">
        <v>18</v>
      </c>
      <c r="C230">
        <v>6</v>
      </c>
      <c r="D230">
        <v>1</v>
      </c>
      <c r="E230" t="s">
        <v>13</v>
      </c>
      <c r="F230">
        <v>81.12</v>
      </c>
      <c r="G230">
        <v>34</v>
      </c>
      <c r="H230" t="s">
        <v>29</v>
      </c>
      <c r="I230" t="s">
        <v>13</v>
      </c>
      <c r="J230" t="s">
        <v>25</v>
      </c>
      <c r="K230">
        <v>81.12</v>
      </c>
      <c r="L230" t="s">
        <v>16</v>
      </c>
      <c r="M230" t="s">
        <v>16</v>
      </c>
      <c r="N230" t="s">
        <v>923</v>
      </c>
      <c r="O230">
        <f>_xlfn.XLOOKUP(customer_satisfaction_cleaned[[#This Row],[Product Category]],Table2[Product Category],Table2[Delivery SLA (Days)],"NA",0)</f>
        <v>10</v>
      </c>
      <c r="P2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1" spans="1:16" x14ac:dyDescent="0.2">
      <c r="A231" t="s">
        <v>252</v>
      </c>
      <c r="B231" t="s">
        <v>18</v>
      </c>
      <c r="C231">
        <v>6</v>
      </c>
      <c r="D231">
        <v>7</v>
      </c>
      <c r="E231" t="s">
        <v>21</v>
      </c>
      <c r="F231">
        <v>96.52</v>
      </c>
      <c r="G231">
        <v>31</v>
      </c>
      <c r="H231" t="s">
        <v>20</v>
      </c>
      <c r="I231" t="s">
        <v>21</v>
      </c>
      <c r="J231" t="s">
        <v>20</v>
      </c>
      <c r="K231">
        <v>96.52</v>
      </c>
      <c r="L231" t="s">
        <v>16</v>
      </c>
      <c r="M231" t="s">
        <v>16</v>
      </c>
      <c r="N231" t="s">
        <v>923</v>
      </c>
      <c r="O231">
        <f>_xlfn.XLOOKUP(customer_satisfaction_cleaned[[#This Row],[Product Category]],Table2[Product Category],Table2[Delivery SLA (Days)],"NA",0)</f>
        <v>10</v>
      </c>
      <c r="P2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2" spans="1:16" x14ac:dyDescent="0.2">
      <c r="A232" t="s">
        <v>253</v>
      </c>
      <c r="B232" t="s">
        <v>18</v>
      </c>
      <c r="C232">
        <v>8</v>
      </c>
      <c r="D232">
        <v>9</v>
      </c>
      <c r="E232" t="s">
        <v>29</v>
      </c>
      <c r="F232">
        <v>67.05</v>
      </c>
      <c r="G232">
        <v>55</v>
      </c>
      <c r="H232" t="s">
        <v>44</v>
      </c>
      <c r="I232" t="s">
        <v>25</v>
      </c>
      <c r="J232" t="s">
        <v>20</v>
      </c>
      <c r="K232">
        <v>67.05</v>
      </c>
      <c r="L232" t="s">
        <v>16</v>
      </c>
      <c r="M232" t="s">
        <v>16</v>
      </c>
      <c r="N232" t="s">
        <v>923</v>
      </c>
      <c r="O232">
        <f>_xlfn.XLOOKUP(customer_satisfaction_cleaned[[#This Row],[Product Category]],Table2[Product Category],Table2[Delivery SLA (Days)],"NA",0)</f>
        <v>10</v>
      </c>
      <c r="P2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3" spans="1:16" x14ac:dyDescent="0.2">
      <c r="A233" t="s">
        <v>254</v>
      </c>
      <c r="B233" t="s">
        <v>18</v>
      </c>
      <c r="C233">
        <v>8</v>
      </c>
      <c r="E233" t="s">
        <v>21</v>
      </c>
      <c r="F233">
        <v>48.6</v>
      </c>
      <c r="G233">
        <v>4</v>
      </c>
      <c r="H233" t="s">
        <v>44</v>
      </c>
      <c r="I233" t="s">
        <v>21</v>
      </c>
      <c r="J233" t="s">
        <v>20</v>
      </c>
      <c r="K233">
        <v>48.6</v>
      </c>
      <c r="L233" t="s">
        <v>16</v>
      </c>
      <c r="M233" t="s">
        <v>937</v>
      </c>
      <c r="N233" t="s">
        <v>926</v>
      </c>
      <c r="O233">
        <f>_xlfn.XLOOKUP(customer_satisfaction_cleaned[[#This Row],[Product Category]],Table2[Product Category],Table2[Delivery SLA (Days)],"NA",0)</f>
        <v>10</v>
      </c>
      <c r="P2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34" spans="1:16" x14ac:dyDescent="0.2">
      <c r="A234" t="s">
        <v>255</v>
      </c>
      <c r="B234" t="s">
        <v>12</v>
      </c>
      <c r="C234">
        <v>4</v>
      </c>
      <c r="D234">
        <v>3</v>
      </c>
      <c r="E234" t="s">
        <v>29</v>
      </c>
      <c r="F234">
        <v>22.78</v>
      </c>
      <c r="G234">
        <v>37</v>
      </c>
      <c r="H234" t="s">
        <v>42</v>
      </c>
      <c r="I234" t="s">
        <v>25</v>
      </c>
      <c r="J234" t="s">
        <v>25</v>
      </c>
      <c r="K234">
        <v>22.78</v>
      </c>
      <c r="L234" t="s">
        <v>16</v>
      </c>
      <c r="M234" t="s">
        <v>16</v>
      </c>
      <c r="N234" t="s">
        <v>923</v>
      </c>
      <c r="O234">
        <f>_xlfn.XLOOKUP(customer_satisfaction_cleaned[[#This Row],[Product Category]],Table2[Product Category],Table2[Delivery SLA (Days)],"NA",0)</f>
        <v>5</v>
      </c>
      <c r="P2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5" spans="1:16" x14ac:dyDescent="0.2">
      <c r="A235" t="s">
        <v>256</v>
      </c>
      <c r="B235" t="s">
        <v>47</v>
      </c>
      <c r="C235">
        <v>6</v>
      </c>
      <c r="E235" t="s">
        <v>21</v>
      </c>
      <c r="F235">
        <v>91.4</v>
      </c>
      <c r="G235">
        <v>31</v>
      </c>
      <c r="H235" t="s">
        <v>24</v>
      </c>
      <c r="I235" t="s">
        <v>21</v>
      </c>
      <c r="J235" t="s">
        <v>25</v>
      </c>
      <c r="K235">
        <v>91.4</v>
      </c>
      <c r="L235" t="s">
        <v>16</v>
      </c>
      <c r="M235" t="s">
        <v>937</v>
      </c>
      <c r="N235" t="s">
        <v>923</v>
      </c>
      <c r="O235">
        <f>_xlfn.XLOOKUP(customer_satisfaction_cleaned[[#This Row],[Product Category]],Table2[Product Category],Table2[Delivery SLA (Days)],"NA",0)</f>
        <v>7</v>
      </c>
      <c r="P2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36" spans="1:16" x14ac:dyDescent="0.2">
      <c r="A236" t="s">
        <v>257</v>
      </c>
      <c r="B236" t="s">
        <v>23</v>
      </c>
      <c r="C236">
        <v>7</v>
      </c>
      <c r="D236">
        <v>6</v>
      </c>
      <c r="E236" t="s">
        <v>13</v>
      </c>
      <c r="F236">
        <v>134.75</v>
      </c>
      <c r="H236" t="s">
        <v>42</v>
      </c>
      <c r="I236" t="s">
        <v>13</v>
      </c>
      <c r="J236" t="s">
        <v>25</v>
      </c>
      <c r="K236">
        <v>134.75</v>
      </c>
      <c r="L236" t="s">
        <v>16</v>
      </c>
      <c r="M236" t="s">
        <v>16</v>
      </c>
      <c r="N236" t="s">
        <v>922</v>
      </c>
      <c r="O236">
        <f>_xlfn.XLOOKUP(customer_satisfaction_cleaned[[#This Row],[Product Category]],Table2[Product Category],Table2[Delivery SLA (Days)],"NA",0)</f>
        <v>7</v>
      </c>
      <c r="P2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7" spans="1:16" x14ac:dyDescent="0.2">
      <c r="A237" t="s">
        <v>258</v>
      </c>
      <c r="B237" t="s">
        <v>18</v>
      </c>
      <c r="C237">
        <v>8</v>
      </c>
      <c r="D237">
        <v>6</v>
      </c>
      <c r="E237" t="s">
        <v>13</v>
      </c>
      <c r="F237">
        <v>47.07</v>
      </c>
      <c r="G237">
        <v>23</v>
      </c>
      <c r="H237" t="s">
        <v>20</v>
      </c>
      <c r="I237" t="s">
        <v>13</v>
      </c>
      <c r="J237" t="s">
        <v>20</v>
      </c>
      <c r="K237">
        <v>47.07</v>
      </c>
      <c r="L237" t="s">
        <v>16</v>
      </c>
      <c r="M237" t="s">
        <v>16</v>
      </c>
      <c r="N237" t="s">
        <v>924</v>
      </c>
      <c r="O237">
        <f>_xlfn.XLOOKUP(customer_satisfaction_cleaned[[#This Row],[Product Category]],Table2[Product Category],Table2[Delivery SLA (Days)],"NA",0)</f>
        <v>10</v>
      </c>
      <c r="P2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8" spans="1:16" x14ac:dyDescent="0.2">
      <c r="A238" t="s">
        <v>259</v>
      </c>
      <c r="B238" t="s">
        <v>18</v>
      </c>
      <c r="C238">
        <v>9</v>
      </c>
      <c r="D238">
        <v>6</v>
      </c>
      <c r="E238" t="s">
        <v>21</v>
      </c>
      <c r="F238">
        <v>107.47</v>
      </c>
      <c r="G238">
        <v>35</v>
      </c>
      <c r="H238" t="s">
        <v>44</v>
      </c>
      <c r="I238" t="s">
        <v>21</v>
      </c>
      <c r="J238" t="s">
        <v>20</v>
      </c>
      <c r="K238">
        <v>107.47</v>
      </c>
      <c r="L238" t="s">
        <v>16</v>
      </c>
      <c r="M238" t="s">
        <v>16</v>
      </c>
      <c r="N238" t="s">
        <v>923</v>
      </c>
      <c r="O238">
        <f>_xlfn.XLOOKUP(customer_satisfaction_cleaned[[#This Row],[Product Category]],Table2[Product Category],Table2[Delivery SLA (Days)],"NA",0)</f>
        <v>10</v>
      </c>
      <c r="P2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9" spans="1:16" x14ac:dyDescent="0.2">
      <c r="A239" t="s">
        <v>260</v>
      </c>
      <c r="B239" t="s">
        <v>23</v>
      </c>
      <c r="C239">
        <v>6</v>
      </c>
      <c r="D239">
        <v>8</v>
      </c>
      <c r="E239" t="s">
        <v>21</v>
      </c>
      <c r="F239">
        <v>160.22999999999999</v>
      </c>
      <c r="G239">
        <v>37</v>
      </c>
      <c r="H239" t="s">
        <v>15</v>
      </c>
      <c r="I239" t="s">
        <v>21</v>
      </c>
      <c r="J239" t="s">
        <v>15</v>
      </c>
      <c r="K239">
        <v>160.22999999999999</v>
      </c>
      <c r="L239" t="s">
        <v>16</v>
      </c>
      <c r="M239" t="s">
        <v>16</v>
      </c>
      <c r="N239" t="s">
        <v>923</v>
      </c>
      <c r="O239">
        <f>_xlfn.XLOOKUP(customer_satisfaction_cleaned[[#This Row],[Product Category]],Table2[Product Category],Table2[Delivery SLA (Days)],"NA",0)</f>
        <v>7</v>
      </c>
      <c r="P2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40" spans="1:16" x14ac:dyDescent="0.2">
      <c r="A240" t="s">
        <v>261</v>
      </c>
      <c r="B240" t="s">
        <v>23</v>
      </c>
      <c r="C240">
        <v>6</v>
      </c>
      <c r="E240" t="s">
        <v>29</v>
      </c>
      <c r="F240">
        <v>125.27</v>
      </c>
      <c r="G240">
        <v>30</v>
      </c>
      <c r="H240" t="s">
        <v>15</v>
      </c>
      <c r="I240" t="s">
        <v>25</v>
      </c>
      <c r="J240" t="s">
        <v>15</v>
      </c>
      <c r="K240">
        <v>125.27</v>
      </c>
      <c r="L240" t="s">
        <v>16</v>
      </c>
      <c r="M240" t="s">
        <v>937</v>
      </c>
      <c r="N240" t="s">
        <v>923</v>
      </c>
      <c r="O240">
        <f>_xlfn.XLOOKUP(customer_satisfaction_cleaned[[#This Row],[Product Category]],Table2[Product Category],Table2[Delivery SLA (Days)],"NA",0)</f>
        <v>7</v>
      </c>
      <c r="P2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41" spans="1:16" x14ac:dyDescent="0.2">
      <c r="A241" t="s">
        <v>17</v>
      </c>
      <c r="B241" t="s">
        <v>12</v>
      </c>
      <c r="C241">
        <v>11</v>
      </c>
      <c r="D241">
        <v>5</v>
      </c>
      <c r="E241" t="s">
        <v>21</v>
      </c>
      <c r="F241">
        <v>118.76</v>
      </c>
      <c r="G241">
        <v>34</v>
      </c>
      <c r="H241" t="s">
        <v>44</v>
      </c>
      <c r="I241" t="s">
        <v>21</v>
      </c>
      <c r="J241" t="s">
        <v>20</v>
      </c>
      <c r="K241">
        <v>118.76</v>
      </c>
      <c r="L241" t="s">
        <v>16</v>
      </c>
      <c r="M241" t="s">
        <v>16</v>
      </c>
      <c r="N241" t="s">
        <v>923</v>
      </c>
      <c r="O241">
        <f>_xlfn.XLOOKUP(customer_satisfaction_cleaned[[#This Row],[Product Category]],Table2[Product Category],Table2[Delivery SLA (Days)],"NA",0)</f>
        <v>5</v>
      </c>
      <c r="P2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2" spans="1:16" x14ac:dyDescent="0.2">
      <c r="A242" t="s">
        <v>262</v>
      </c>
      <c r="B242" t="s">
        <v>18</v>
      </c>
      <c r="C242">
        <v>7</v>
      </c>
      <c r="D242">
        <v>7</v>
      </c>
      <c r="E242" t="s">
        <v>21</v>
      </c>
      <c r="F242">
        <v>78.06</v>
      </c>
      <c r="G242">
        <v>40</v>
      </c>
      <c r="H242" t="s">
        <v>44</v>
      </c>
      <c r="I242" t="s">
        <v>21</v>
      </c>
      <c r="J242" t="s">
        <v>20</v>
      </c>
      <c r="K242">
        <v>78.06</v>
      </c>
      <c r="L242" t="s">
        <v>16</v>
      </c>
      <c r="M242" t="s">
        <v>16</v>
      </c>
      <c r="N242" t="s">
        <v>923</v>
      </c>
      <c r="O242">
        <f>_xlfn.XLOOKUP(customer_satisfaction_cleaned[[#This Row],[Product Category]],Table2[Product Category],Table2[Delivery SLA (Days)],"NA",0)</f>
        <v>10</v>
      </c>
      <c r="P2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3" spans="1:16" x14ac:dyDescent="0.2">
      <c r="A243" t="s">
        <v>263</v>
      </c>
      <c r="B243" t="s">
        <v>12</v>
      </c>
      <c r="C243">
        <v>8</v>
      </c>
      <c r="D243">
        <v>6</v>
      </c>
      <c r="E243" t="s">
        <v>13</v>
      </c>
      <c r="F243">
        <v>73.73</v>
      </c>
      <c r="H243" t="s">
        <v>20</v>
      </c>
      <c r="I243" t="s">
        <v>13</v>
      </c>
      <c r="J243" t="s">
        <v>20</v>
      </c>
      <c r="K243">
        <v>73.73</v>
      </c>
      <c r="L243" t="s">
        <v>16</v>
      </c>
      <c r="M243" t="s">
        <v>16</v>
      </c>
      <c r="N243" t="s">
        <v>922</v>
      </c>
      <c r="O243">
        <f>_xlfn.XLOOKUP(customer_satisfaction_cleaned[[#This Row],[Product Category]],Table2[Product Category],Table2[Delivery SLA (Days)],"NA",0)</f>
        <v>5</v>
      </c>
      <c r="P2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44" spans="1:16" x14ac:dyDescent="0.2">
      <c r="A244" t="s">
        <v>264</v>
      </c>
      <c r="B244" t="s">
        <v>12</v>
      </c>
      <c r="C244">
        <v>4</v>
      </c>
      <c r="D244">
        <v>7</v>
      </c>
      <c r="E244" t="s">
        <v>32</v>
      </c>
      <c r="F244">
        <v>63.52</v>
      </c>
      <c r="G244">
        <v>37</v>
      </c>
      <c r="H244" t="s">
        <v>44</v>
      </c>
      <c r="I244" t="s">
        <v>13</v>
      </c>
      <c r="J244" t="s">
        <v>20</v>
      </c>
      <c r="K244">
        <v>63.52</v>
      </c>
      <c r="L244" t="s">
        <v>16</v>
      </c>
      <c r="M244" t="s">
        <v>16</v>
      </c>
      <c r="N244" t="s">
        <v>923</v>
      </c>
      <c r="O244">
        <f>_xlfn.XLOOKUP(customer_satisfaction_cleaned[[#This Row],[Product Category]],Table2[Product Category],Table2[Delivery SLA (Days)],"NA",0)</f>
        <v>5</v>
      </c>
      <c r="P2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45" spans="1:16" x14ac:dyDescent="0.2">
      <c r="A245" t="s">
        <v>265</v>
      </c>
      <c r="B245" t="s">
        <v>23</v>
      </c>
      <c r="C245">
        <v>5</v>
      </c>
      <c r="D245">
        <v>5</v>
      </c>
      <c r="E245" t="s">
        <v>19</v>
      </c>
      <c r="F245">
        <v>132.66</v>
      </c>
      <c r="G245">
        <v>22</v>
      </c>
      <c r="H245" t="s">
        <v>34</v>
      </c>
      <c r="I245" t="s">
        <v>21</v>
      </c>
      <c r="J245" t="s">
        <v>25</v>
      </c>
      <c r="K245">
        <v>132.66</v>
      </c>
      <c r="L245" t="s">
        <v>16</v>
      </c>
      <c r="M245" t="s">
        <v>16</v>
      </c>
      <c r="N245" t="s">
        <v>924</v>
      </c>
      <c r="O245">
        <f>_xlfn.XLOOKUP(customer_satisfaction_cleaned[[#This Row],[Product Category]],Table2[Product Category],Table2[Delivery SLA (Days)],"NA",0)</f>
        <v>7</v>
      </c>
      <c r="P2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6" spans="1:16" x14ac:dyDescent="0.2">
      <c r="A246" t="s">
        <v>266</v>
      </c>
      <c r="B246" t="s">
        <v>12</v>
      </c>
      <c r="C246">
        <v>6</v>
      </c>
      <c r="D246">
        <v>5</v>
      </c>
      <c r="E246" t="s">
        <v>32</v>
      </c>
      <c r="F246">
        <v>160.30000000000001</v>
      </c>
      <c r="G246">
        <v>47</v>
      </c>
      <c r="H246" t="s">
        <v>24</v>
      </c>
      <c r="I246" t="s">
        <v>13</v>
      </c>
      <c r="J246" t="s">
        <v>25</v>
      </c>
      <c r="K246">
        <v>160.30000000000001</v>
      </c>
      <c r="L246" t="s">
        <v>16</v>
      </c>
      <c r="M246" t="s">
        <v>16</v>
      </c>
      <c r="N246" t="s">
        <v>923</v>
      </c>
      <c r="O246">
        <f>_xlfn.XLOOKUP(customer_satisfaction_cleaned[[#This Row],[Product Category]],Table2[Product Category],Table2[Delivery SLA (Days)],"NA",0)</f>
        <v>5</v>
      </c>
      <c r="P2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7" spans="1:16" x14ac:dyDescent="0.2">
      <c r="A247" t="s">
        <v>267</v>
      </c>
      <c r="B247" t="s">
        <v>18</v>
      </c>
      <c r="C247">
        <v>5</v>
      </c>
      <c r="E247" t="s">
        <v>32</v>
      </c>
      <c r="F247">
        <v>45.78</v>
      </c>
      <c r="G247">
        <v>57</v>
      </c>
      <c r="H247" t="s">
        <v>44</v>
      </c>
      <c r="I247" t="s">
        <v>13</v>
      </c>
      <c r="J247" t="s">
        <v>20</v>
      </c>
      <c r="K247">
        <v>45.78</v>
      </c>
      <c r="L247" t="s">
        <v>16</v>
      </c>
      <c r="M247" t="s">
        <v>937</v>
      </c>
      <c r="N247" t="s">
        <v>923</v>
      </c>
      <c r="O247">
        <f>_xlfn.XLOOKUP(customer_satisfaction_cleaned[[#This Row],[Product Category]],Table2[Product Category],Table2[Delivery SLA (Days)],"NA",0)</f>
        <v>10</v>
      </c>
      <c r="P2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48" spans="1:16" x14ac:dyDescent="0.2">
      <c r="A248" t="s">
        <v>268</v>
      </c>
      <c r="B248" t="s">
        <v>12</v>
      </c>
      <c r="C248">
        <v>8</v>
      </c>
      <c r="D248">
        <v>5</v>
      </c>
      <c r="E248" t="s">
        <v>19</v>
      </c>
      <c r="F248">
        <v>65.7</v>
      </c>
      <c r="G248">
        <v>0</v>
      </c>
      <c r="H248" t="s">
        <v>42</v>
      </c>
      <c r="I248" t="s">
        <v>21</v>
      </c>
      <c r="J248" t="s">
        <v>25</v>
      </c>
      <c r="K248">
        <v>65.7</v>
      </c>
      <c r="L248" t="s">
        <v>16</v>
      </c>
      <c r="M248" t="s">
        <v>16</v>
      </c>
      <c r="N248" t="s">
        <v>926</v>
      </c>
      <c r="O248">
        <f>_xlfn.XLOOKUP(customer_satisfaction_cleaned[[#This Row],[Product Category]],Table2[Product Category],Table2[Delivery SLA (Days)],"NA",0)</f>
        <v>5</v>
      </c>
      <c r="P2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9" spans="1:16" x14ac:dyDescent="0.2">
      <c r="A249" t="s">
        <v>269</v>
      </c>
      <c r="B249" t="s">
        <v>18</v>
      </c>
      <c r="C249">
        <v>4</v>
      </c>
      <c r="D249">
        <v>4</v>
      </c>
      <c r="E249" t="s">
        <v>21</v>
      </c>
      <c r="F249">
        <v>153.9</v>
      </c>
      <c r="G249">
        <v>31</v>
      </c>
      <c r="H249" t="s">
        <v>24</v>
      </c>
      <c r="I249" t="s">
        <v>21</v>
      </c>
      <c r="J249" t="s">
        <v>25</v>
      </c>
      <c r="K249">
        <v>153.9</v>
      </c>
      <c r="L249" t="s">
        <v>16</v>
      </c>
      <c r="M249" t="s">
        <v>16</v>
      </c>
      <c r="N249" t="s">
        <v>923</v>
      </c>
      <c r="O249">
        <f>_xlfn.XLOOKUP(customer_satisfaction_cleaned[[#This Row],[Product Category]],Table2[Product Category],Table2[Delivery SLA (Days)],"NA",0)</f>
        <v>10</v>
      </c>
      <c r="P2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0" spans="1:16" x14ac:dyDescent="0.2">
      <c r="A250" t="s">
        <v>270</v>
      </c>
      <c r="B250" t="s">
        <v>12</v>
      </c>
      <c r="C250">
        <v>5</v>
      </c>
      <c r="D250">
        <v>5</v>
      </c>
      <c r="E250" t="s">
        <v>21</v>
      </c>
      <c r="F250">
        <v>109.79</v>
      </c>
      <c r="H250" t="s">
        <v>29</v>
      </c>
      <c r="I250" t="s">
        <v>21</v>
      </c>
      <c r="J250" t="s">
        <v>25</v>
      </c>
      <c r="K250">
        <v>109.79</v>
      </c>
      <c r="L250" t="s">
        <v>16</v>
      </c>
      <c r="M250" t="s">
        <v>16</v>
      </c>
      <c r="N250" t="s">
        <v>922</v>
      </c>
      <c r="O250">
        <f>_xlfn.XLOOKUP(customer_satisfaction_cleaned[[#This Row],[Product Category]],Table2[Product Category],Table2[Delivery SLA (Days)],"NA",0)</f>
        <v>5</v>
      </c>
      <c r="P2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1" spans="1:16" x14ac:dyDescent="0.2">
      <c r="A251" t="s">
        <v>271</v>
      </c>
      <c r="B251" t="s">
        <v>23</v>
      </c>
      <c r="D251">
        <v>3</v>
      </c>
      <c r="E251" t="s">
        <v>19</v>
      </c>
      <c r="F251">
        <v>117.49</v>
      </c>
      <c r="G251">
        <v>37</v>
      </c>
      <c r="H251" t="s">
        <v>34</v>
      </c>
      <c r="I251" t="s">
        <v>21</v>
      </c>
      <c r="J251" t="s">
        <v>25</v>
      </c>
      <c r="K251">
        <v>117.49</v>
      </c>
      <c r="L251" t="s">
        <v>936</v>
      </c>
      <c r="M251" t="s">
        <v>16</v>
      </c>
      <c r="N251" t="s">
        <v>923</v>
      </c>
      <c r="O251">
        <f>_xlfn.XLOOKUP(customer_satisfaction_cleaned[[#This Row],[Product Category]],Table2[Product Category],Table2[Delivery SLA (Days)],"NA",0)</f>
        <v>7</v>
      </c>
      <c r="P2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2" spans="1:16" x14ac:dyDescent="0.2">
      <c r="A252" t="s">
        <v>272</v>
      </c>
      <c r="B252" t="s">
        <v>18</v>
      </c>
      <c r="C252">
        <v>6</v>
      </c>
      <c r="D252">
        <v>6</v>
      </c>
      <c r="E252" t="s">
        <v>19</v>
      </c>
      <c r="F252">
        <v>138.21</v>
      </c>
      <c r="G252">
        <v>29</v>
      </c>
      <c r="H252" t="s">
        <v>15</v>
      </c>
      <c r="I252" t="s">
        <v>21</v>
      </c>
      <c r="J252" t="s">
        <v>15</v>
      </c>
      <c r="K252">
        <v>138.21</v>
      </c>
      <c r="L252" t="s">
        <v>16</v>
      </c>
      <c r="M252" t="s">
        <v>16</v>
      </c>
      <c r="N252" t="s">
        <v>924</v>
      </c>
      <c r="O252">
        <f>_xlfn.XLOOKUP(customer_satisfaction_cleaned[[#This Row],[Product Category]],Table2[Product Category],Table2[Delivery SLA (Days)],"NA",0)</f>
        <v>10</v>
      </c>
      <c r="P2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3" spans="1:16" x14ac:dyDescent="0.2">
      <c r="A253" t="s">
        <v>273</v>
      </c>
      <c r="B253" t="s">
        <v>18</v>
      </c>
      <c r="C253">
        <v>7</v>
      </c>
      <c r="E253" t="s">
        <v>13</v>
      </c>
      <c r="F253">
        <v>44.13</v>
      </c>
      <c r="G253">
        <v>40</v>
      </c>
      <c r="H253" t="s">
        <v>42</v>
      </c>
      <c r="I253" t="s">
        <v>13</v>
      </c>
      <c r="J253" t="s">
        <v>25</v>
      </c>
      <c r="K253">
        <v>44.13</v>
      </c>
      <c r="L253" t="s">
        <v>16</v>
      </c>
      <c r="M253" t="s">
        <v>937</v>
      </c>
      <c r="N253" t="s">
        <v>923</v>
      </c>
      <c r="O253">
        <f>_xlfn.XLOOKUP(customer_satisfaction_cleaned[[#This Row],[Product Category]],Table2[Product Category],Table2[Delivery SLA (Days)],"NA",0)</f>
        <v>10</v>
      </c>
      <c r="P2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54" spans="1:16" x14ac:dyDescent="0.2">
      <c r="A254" t="s">
        <v>274</v>
      </c>
      <c r="B254" t="s">
        <v>23</v>
      </c>
      <c r="C254">
        <v>5</v>
      </c>
      <c r="D254">
        <v>4</v>
      </c>
      <c r="E254" t="s">
        <v>21</v>
      </c>
      <c r="F254">
        <v>195.22</v>
      </c>
      <c r="G254">
        <v>44</v>
      </c>
      <c r="H254" t="s">
        <v>20</v>
      </c>
      <c r="I254" t="s">
        <v>21</v>
      </c>
      <c r="J254" t="s">
        <v>20</v>
      </c>
      <c r="K254">
        <v>195.22</v>
      </c>
      <c r="L254" t="s">
        <v>16</v>
      </c>
      <c r="M254" t="s">
        <v>16</v>
      </c>
      <c r="N254" t="s">
        <v>923</v>
      </c>
      <c r="O254">
        <f>_xlfn.XLOOKUP(customer_satisfaction_cleaned[[#This Row],[Product Category]],Table2[Product Category],Table2[Delivery SLA (Days)],"NA",0)</f>
        <v>7</v>
      </c>
      <c r="P2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5" spans="1:16" x14ac:dyDescent="0.2">
      <c r="A255" t="s">
        <v>275</v>
      </c>
      <c r="B255" t="s">
        <v>47</v>
      </c>
      <c r="C255">
        <v>9</v>
      </c>
      <c r="D255">
        <v>7</v>
      </c>
      <c r="E255" t="s">
        <v>21</v>
      </c>
      <c r="F255">
        <v>81.69</v>
      </c>
      <c r="G255">
        <v>26</v>
      </c>
      <c r="H255" t="s">
        <v>24</v>
      </c>
      <c r="I255" t="s">
        <v>21</v>
      </c>
      <c r="J255" t="s">
        <v>25</v>
      </c>
      <c r="K255">
        <v>81.69</v>
      </c>
      <c r="L255" t="s">
        <v>16</v>
      </c>
      <c r="M255" t="s">
        <v>16</v>
      </c>
      <c r="N255" t="s">
        <v>924</v>
      </c>
      <c r="O255">
        <f>_xlfn.XLOOKUP(customer_satisfaction_cleaned[[#This Row],[Product Category]],Table2[Product Category],Table2[Delivery SLA (Days)],"NA",0)</f>
        <v>7</v>
      </c>
      <c r="P2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6" spans="1:16" x14ac:dyDescent="0.2">
      <c r="A256" t="s">
        <v>276</v>
      </c>
      <c r="B256" t="s">
        <v>18</v>
      </c>
      <c r="C256">
        <v>6</v>
      </c>
      <c r="D256">
        <v>5</v>
      </c>
      <c r="E256" t="s">
        <v>21</v>
      </c>
      <c r="F256">
        <v>55.1</v>
      </c>
      <c r="G256">
        <v>41</v>
      </c>
      <c r="H256" t="s">
        <v>20</v>
      </c>
      <c r="I256" t="s">
        <v>21</v>
      </c>
      <c r="J256" t="s">
        <v>20</v>
      </c>
      <c r="K256">
        <v>55.1</v>
      </c>
      <c r="L256" t="s">
        <v>16</v>
      </c>
      <c r="M256" t="s">
        <v>16</v>
      </c>
      <c r="N256" t="s">
        <v>923</v>
      </c>
      <c r="O256">
        <f>_xlfn.XLOOKUP(customer_satisfaction_cleaned[[#This Row],[Product Category]],Table2[Product Category],Table2[Delivery SLA (Days)],"NA",0)</f>
        <v>10</v>
      </c>
      <c r="P2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7" spans="1:16" x14ac:dyDescent="0.2">
      <c r="A257" t="s">
        <v>277</v>
      </c>
      <c r="B257" t="s">
        <v>12</v>
      </c>
      <c r="C257">
        <v>4</v>
      </c>
      <c r="D257">
        <v>7</v>
      </c>
      <c r="E257" t="s">
        <v>19</v>
      </c>
      <c r="F257">
        <v>130.5</v>
      </c>
      <c r="G257">
        <v>58</v>
      </c>
      <c r="H257" t="s">
        <v>20</v>
      </c>
      <c r="I257" t="s">
        <v>21</v>
      </c>
      <c r="J257" t="s">
        <v>20</v>
      </c>
      <c r="K257">
        <v>130.5</v>
      </c>
      <c r="L257" t="s">
        <v>16</v>
      </c>
      <c r="M257" t="s">
        <v>16</v>
      </c>
      <c r="N257" t="s">
        <v>923</v>
      </c>
      <c r="O257">
        <f>_xlfn.XLOOKUP(customer_satisfaction_cleaned[[#This Row],[Product Category]],Table2[Product Category],Table2[Delivery SLA (Days)],"NA",0)</f>
        <v>5</v>
      </c>
      <c r="P2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58" spans="1:16" x14ac:dyDescent="0.2">
      <c r="A258" t="s">
        <v>278</v>
      </c>
      <c r="B258" t="s">
        <v>18</v>
      </c>
      <c r="C258">
        <v>5</v>
      </c>
      <c r="D258">
        <v>4</v>
      </c>
      <c r="E258" t="s">
        <v>21</v>
      </c>
      <c r="F258">
        <v>72.56</v>
      </c>
      <c r="G258">
        <v>34</v>
      </c>
      <c r="H258" t="s">
        <v>24</v>
      </c>
      <c r="I258" t="s">
        <v>21</v>
      </c>
      <c r="J258" t="s">
        <v>25</v>
      </c>
      <c r="K258">
        <v>72.56</v>
      </c>
      <c r="L258" t="s">
        <v>16</v>
      </c>
      <c r="M258" t="s">
        <v>16</v>
      </c>
      <c r="N258" t="s">
        <v>923</v>
      </c>
      <c r="O258">
        <f>_xlfn.XLOOKUP(customer_satisfaction_cleaned[[#This Row],[Product Category]],Table2[Product Category],Table2[Delivery SLA (Days)],"NA",0)</f>
        <v>10</v>
      </c>
      <c r="P2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9" spans="1:16" x14ac:dyDescent="0.2">
      <c r="A259" t="s">
        <v>279</v>
      </c>
      <c r="B259" t="s">
        <v>47</v>
      </c>
      <c r="C259">
        <v>7</v>
      </c>
      <c r="D259">
        <v>5</v>
      </c>
      <c r="E259" t="s">
        <v>19</v>
      </c>
      <c r="F259">
        <v>130.74</v>
      </c>
      <c r="G259">
        <v>9</v>
      </c>
      <c r="H259" t="s">
        <v>44</v>
      </c>
      <c r="I259" t="s">
        <v>21</v>
      </c>
      <c r="J259" t="s">
        <v>20</v>
      </c>
      <c r="K259">
        <v>130.74</v>
      </c>
      <c r="L259" t="s">
        <v>16</v>
      </c>
      <c r="M259" t="s">
        <v>16</v>
      </c>
      <c r="N259" t="s">
        <v>926</v>
      </c>
      <c r="O259">
        <f>_xlfn.XLOOKUP(customer_satisfaction_cleaned[[#This Row],[Product Category]],Table2[Product Category],Table2[Delivery SLA (Days)],"NA",0)</f>
        <v>7</v>
      </c>
      <c r="P2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0" spans="1:16" x14ac:dyDescent="0.2">
      <c r="A260" t="s">
        <v>280</v>
      </c>
      <c r="B260" t="s">
        <v>12</v>
      </c>
      <c r="C260">
        <v>10</v>
      </c>
      <c r="D260">
        <v>8</v>
      </c>
      <c r="E260" t="s">
        <v>13</v>
      </c>
      <c r="F260">
        <v>104.96</v>
      </c>
      <c r="G260">
        <v>47</v>
      </c>
      <c r="H260" t="s">
        <v>14</v>
      </c>
      <c r="I260" t="s">
        <v>13</v>
      </c>
      <c r="J260" t="s">
        <v>15</v>
      </c>
      <c r="K260">
        <v>104.96</v>
      </c>
      <c r="L260" t="s">
        <v>16</v>
      </c>
      <c r="M260" t="s">
        <v>16</v>
      </c>
      <c r="N260" t="s">
        <v>923</v>
      </c>
      <c r="O260">
        <f>_xlfn.XLOOKUP(customer_satisfaction_cleaned[[#This Row],[Product Category]],Table2[Product Category],Table2[Delivery SLA (Days)],"NA",0)</f>
        <v>5</v>
      </c>
      <c r="P2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61" spans="1:16" x14ac:dyDescent="0.2">
      <c r="A261" t="s">
        <v>281</v>
      </c>
      <c r="B261" t="s">
        <v>23</v>
      </c>
      <c r="C261">
        <v>9</v>
      </c>
      <c r="D261">
        <v>3</v>
      </c>
      <c r="E261" t="s">
        <v>13</v>
      </c>
      <c r="F261">
        <v>18.72</v>
      </c>
      <c r="G261">
        <v>16</v>
      </c>
      <c r="H261" t="s">
        <v>44</v>
      </c>
      <c r="I261" t="s">
        <v>13</v>
      </c>
      <c r="J261" t="s">
        <v>20</v>
      </c>
      <c r="K261">
        <v>18.72</v>
      </c>
      <c r="L261" t="s">
        <v>16</v>
      </c>
      <c r="M261" t="s">
        <v>16</v>
      </c>
      <c r="N261" t="s">
        <v>924</v>
      </c>
      <c r="O261">
        <f>_xlfn.XLOOKUP(customer_satisfaction_cleaned[[#This Row],[Product Category]],Table2[Product Category],Table2[Delivery SLA (Days)],"NA",0)</f>
        <v>7</v>
      </c>
      <c r="P2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2" spans="1:16" x14ac:dyDescent="0.2">
      <c r="A262" t="s">
        <v>282</v>
      </c>
      <c r="B262" t="s">
        <v>47</v>
      </c>
      <c r="C262">
        <v>8</v>
      </c>
      <c r="D262">
        <v>8</v>
      </c>
      <c r="E262" t="s">
        <v>13</v>
      </c>
      <c r="F262">
        <v>46.51</v>
      </c>
      <c r="G262">
        <v>49</v>
      </c>
      <c r="H262" t="s">
        <v>42</v>
      </c>
      <c r="I262" t="s">
        <v>13</v>
      </c>
      <c r="J262" t="s">
        <v>25</v>
      </c>
      <c r="K262">
        <v>46.51</v>
      </c>
      <c r="L262" t="s">
        <v>16</v>
      </c>
      <c r="M262" t="s">
        <v>16</v>
      </c>
      <c r="N262" t="s">
        <v>923</v>
      </c>
      <c r="O262">
        <f>_xlfn.XLOOKUP(customer_satisfaction_cleaned[[#This Row],[Product Category]],Table2[Product Category],Table2[Delivery SLA (Days)],"NA",0)</f>
        <v>7</v>
      </c>
      <c r="P2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63" spans="1:16" x14ac:dyDescent="0.2">
      <c r="A263" t="s">
        <v>283</v>
      </c>
      <c r="B263" t="s">
        <v>23</v>
      </c>
      <c r="C263">
        <v>4</v>
      </c>
      <c r="D263">
        <v>8</v>
      </c>
      <c r="E263" t="s">
        <v>21</v>
      </c>
      <c r="F263">
        <v>161.49</v>
      </c>
      <c r="G263">
        <v>75</v>
      </c>
      <c r="H263" t="s">
        <v>15</v>
      </c>
      <c r="I263" t="s">
        <v>21</v>
      </c>
      <c r="J263" t="s">
        <v>15</v>
      </c>
      <c r="K263">
        <v>161.49</v>
      </c>
      <c r="L263" t="s">
        <v>16</v>
      </c>
      <c r="M263" t="s">
        <v>16</v>
      </c>
      <c r="N263" t="s">
        <v>925</v>
      </c>
      <c r="O263">
        <f>_xlfn.XLOOKUP(customer_satisfaction_cleaned[[#This Row],[Product Category]],Table2[Product Category],Table2[Delivery SLA (Days)],"NA",0)</f>
        <v>7</v>
      </c>
      <c r="P2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64" spans="1:16" x14ac:dyDescent="0.2">
      <c r="A264" t="s">
        <v>284</v>
      </c>
      <c r="B264" t="s">
        <v>12</v>
      </c>
      <c r="C264">
        <v>10</v>
      </c>
      <c r="D264">
        <v>4</v>
      </c>
      <c r="E264" t="s">
        <v>29</v>
      </c>
      <c r="F264">
        <v>57.39</v>
      </c>
      <c r="G264">
        <v>34</v>
      </c>
      <c r="H264" t="s">
        <v>44</v>
      </c>
      <c r="I264" t="s">
        <v>25</v>
      </c>
      <c r="J264" t="s">
        <v>20</v>
      </c>
      <c r="K264">
        <v>57.39</v>
      </c>
      <c r="L264" t="s">
        <v>16</v>
      </c>
      <c r="M264" t="s">
        <v>16</v>
      </c>
      <c r="N264" t="s">
        <v>923</v>
      </c>
      <c r="O264">
        <f>_xlfn.XLOOKUP(customer_satisfaction_cleaned[[#This Row],[Product Category]],Table2[Product Category],Table2[Delivery SLA (Days)],"NA",0)</f>
        <v>5</v>
      </c>
      <c r="P2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5" spans="1:16" x14ac:dyDescent="0.2">
      <c r="A265" t="s">
        <v>285</v>
      </c>
      <c r="B265" t="s">
        <v>36</v>
      </c>
      <c r="C265">
        <v>5</v>
      </c>
      <c r="D265">
        <v>5</v>
      </c>
      <c r="E265" t="s">
        <v>34</v>
      </c>
      <c r="F265">
        <v>82.52</v>
      </c>
      <c r="G265">
        <v>11</v>
      </c>
      <c r="H265" t="s">
        <v>24</v>
      </c>
      <c r="I265" t="s">
        <v>25</v>
      </c>
      <c r="J265" t="s">
        <v>25</v>
      </c>
      <c r="K265">
        <v>82.52</v>
      </c>
      <c r="L265" t="s">
        <v>16</v>
      </c>
      <c r="M265" t="s">
        <v>16</v>
      </c>
      <c r="N265" t="s">
        <v>926</v>
      </c>
      <c r="O265" t="str">
        <f>_xlfn.XLOOKUP(customer_satisfaction_cleaned[[#This Row],[Product Category]],Table2[Product Category],Table2[Delivery SLA (Days)],"NA",0)</f>
        <v>NA</v>
      </c>
      <c r="P2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66" spans="1:16" x14ac:dyDescent="0.2">
      <c r="A266" t="s">
        <v>286</v>
      </c>
      <c r="B266" t="s">
        <v>47</v>
      </c>
      <c r="C266">
        <v>7</v>
      </c>
      <c r="D266">
        <v>9</v>
      </c>
      <c r="E266" t="s">
        <v>34</v>
      </c>
      <c r="F266">
        <v>29.8</v>
      </c>
      <c r="G266">
        <v>27</v>
      </c>
      <c r="H266" t="s">
        <v>34</v>
      </c>
      <c r="I266" t="s">
        <v>25</v>
      </c>
      <c r="J266" t="s">
        <v>25</v>
      </c>
      <c r="K266">
        <v>29.8</v>
      </c>
      <c r="L266" t="s">
        <v>16</v>
      </c>
      <c r="M266" t="s">
        <v>16</v>
      </c>
      <c r="N266" t="s">
        <v>924</v>
      </c>
      <c r="O266">
        <f>_xlfn.XLOOKUP(customer_satisfaction_cleaned[[#This Row],[Product Category]],Table2[Product Category],Table2[Delivery SLA (Days)],"NA",0)</f>
        <v>7</v>
      </c>
      <c r="P2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67" spans="1:16" x14ac:dyDescent="0.2">
      <c r="A267" t="s">
        <v>287</v>
      </c>
      <c r="B267" t="s">
        <v>23</v>
      </c>
      <c r="C267">
        <v>5</v>
      </c>
      <c r="D267">
        <v>6</v>
      </c>
      <c r="E267" t="s">
        <v>21</v>
      </c>
      <c r="F267">
        <v>121.48</v>
      </c>
      <c r="G267">
        <v>44</v>
      </c>
      <c r="H267" t="s">
        <v>44</v>
      </c>
      <c r="I267" t="s">
        <v>21</v>
      </c>
      <c r="J267" t="s">
        <v>20</v>
      </c>
      <c r="K267">
        <v>121.48</v>
      </c>
      <c r="L267" t="s">
        <v>16</v>
      </c>
      <c r="M267" t="s">
        <v>16</v>
      </c>
      <c r="N267" t="s">
        <v>923</v>
      </c>
      <c r="O267">
        <f>_xlfn.XLOOKUP(customer_satisfaction_cleaned[[#This Row],[Product Category]],Table2[Product Category],Table2[Delivery SLA (Days)],"NA",0)</f>
        <v>7</v>
      </c>
      <c r="P2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8" spans="1:16" x14ac:dyDescent="0.2">
      <c r="A268" t="s">
        <v>288</v>
      </c>
      <c r="B268" t="s">
        <v>12</v>
      </c>
      <c r="C268">
        <v>7</v>
      </c>
      <c r="D268">
        <v>4</v>
      </c>
      <c r="E268" t="s">
        <v>21</v>
      </c>
      <c r="F268">
        <v>63.89</v>
      </c>
      <c r="G268">
        <v>51</v>
      </c>
      <c r="H268" t="s">
        <v>24</v>
      </c>
      <c r="I268" t="s">
        <v>21</v>
      </c>
      <c r="J268" t="s">
        <v>25</v>
      </c>
      <c r="K268">
        <v>63.89</v>
      </c>
      <c r="L268" t="s">
        <v>16</v>
      </c>
      <c r="M268" t="s">
        <v>16</v>
      </c>
      <c r="N268" t="s">
        <v>923</v>
      </c>
      <c r="O268">
        <f>_xlfn.XLOOKUP(customer_satisfaction_cleaned[[#This Row],[Product Category]],Table2[Product Category],Table2[Delivery SLA (Days)],"NA",0)</f>
        <v>5</v>
      </c>
      <c r="P2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9" spans="1:16" x14ac:dyDescent="0.2">
      <c r="A269" t="s">
        <v>289</v>
      </c>
      <c r="B269" t="s">
        <v>47</v>
      </c>
      <c r="C269">
        <v>7</v>
      </c>
      <c r="D269">
        <v>6</v>
      </c>
      <c r="E269" t="s">
        <v>21</v>
      </c>
      <c r="F269">
        <v>144.34</v>
      </c>
      <c r="G269">
        <v>33</v>
      </c>
      <c r="H269" t="s">
        <v>42</v>
      </c>
      <c r="I269" t="s">
        <v>21</v>
      </c>
      <c r="J269" t="s">
        <v>25</v>
      </c>
      <c r="K269">
        <v>144.34</v>
      </c>
      <c r="L269" t="s">
        <v>16</v>
      </c>
      <c r="M269" t="s">
        <v>16</v>
      </c>
      <c r="N269" t="s">
        <v>923</v>
      </c>
      <c r="O269">
        <f>_xlfn.XLOOKUP(customer_satisfaction_cleaned[[#This Row],[Product Category]],Table2[Product Category],Table2[Delivery SLA (Days)],"NA",0)</f>
        <v>7</v>
      </c>
      <c r="P2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0" spans="1:16" x14ac:dyDescent="0.2">
      <c r="A270" t="s">
        <v>290</v>
      </c>
      <c r="B270" t="s">
        <v>18</v>
      </c>
      <c r="C270">
        <v>7</v>
      </c>
      <c r="D270">
        <v>7</v>
      </c>
      <c r="E270" t="s">
        <v>21</v>
      </c>
      <c r="F270">
        <v>105.69</v>
      </c>
      <c r="G270">
        <v>64</v>
      </c>
      <c r="H270" t="s">
        <v>44</v>
      </c>
      <c r="I270" t="s">
        <v>21</v>
      </c>
      <c r="J270" t="s">
        <v>20</v>
      </c>
      <c r="K270">
        <v>105.69</v>
      </c>
      <c r="L270" t="s">
        <v>16</v>
      </c>
      <c r="M270" t="s">
        <v>16</v>
      </c>
      <c r="N270" t="s">
        <v>925</v>
      </c>
      <c r="O270">
        <f>_xlfn.XLOOKUP(customer_satisfaction_cleaned[[#This Row],[Product Category]],Table2[Product Category],Table2[Delivery SLA (Days)],"NA",0)</f>
        <v>10</v>
      </c>
      <c r="P2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1" spans="1:16" x14ac:dyDescent="0.2">
      <c r="A271" t="s">
        <v>291</v>
      </c>
      <c r="B271" t="s">
        <v>12</v>
      </c>
      <c r="C271">
        <v>7</v>
      </c>
      <c r="D271">
        <v>4</v>
      </c>
      <c r="E271" t="s">
        <v>13</v>
      </c>
      <c r="F271">
        <v>112.61</v>
      </c>
      <c r="G271">
        <v>24</v>
      </c>
      <c r="H271" t="s">
        <v>20</v>
      </c>
      <c r="I271" t="s">
        <v>13</v>
      </c>
      <c r="J271" t="s">
        <v>20</v>
      </c>
      <c r="K271">
        <v>112.61</v>
      </c>
      <c r="L271" t="s">
        <v>16</v>
      </c>
      <c r="M271" t="s">
        <v>16</v>
      </c>
      <c r="N271" t="s">
        <v>924</v>
      </c>
      <c r="O271">
        <f>_xlfn.XLOOKUP(customer_satisfaction_cleaned[[#This Row],[Product Category]],Table2[Product Category],Table2[Delivery SLA (Days)],"NA",0)</f>
        <v>5</v>
      </c>
      <c r="P2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2" spans="1:16" x14ac:dyDescent="0.2">
      <c r="A272" t="s">
        <v>292</v>
      </c>
      <c r="B272" t="s">
        <v>47</v>
      </c>
      <c r="C272">
        <v>5</v>
      </c>
      <c r="D272">
        <v>4</v>
      </c>
      <c r="E272" t="s">
        <v>19</v>
      </c>
      <c r="F272">
        <v>61.04</v>
      </c>
      <c r="G272">
        <v>23</v>
      </c>
      <c r="H272" t="s">
        <v>20</v>
      </c>
      <c r="I272" t="s">
        <v>21</v>
      </c>
      <c r="J272" t="s">
        <v>20</v>
      </c>
      <c r="K272">
        <v>61.04</v>
      </c>
      <c r="L272" t="s">
        <v>16</v>
      </c>
      <c r="M272" t="s">
        <v>16</v>
      </c>
      <c r="N272" t="s">
        <v>924</v>
      </c>
      <c r="O272">
        <f>_xlfn.XLOOKUP(customer_satisfaction_cleaned[[#This Row],[Product Category]],Table2[Product Category],Table2[Delivery SLA (Days)],"NA",0)</f>
        <v>7</v>
      </c>
      <c r="P2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3" spans="1:16" x14ac:dyDescent="0.2">
      <c r="A273" t="s">
        <v>293</v>
      </c>
      <c r="B273" t="s">
        <v>47</v>
      </c>
      <c r="D273">
        <v>4</v>
      </c>
      <c r="E273" t="s">
        <v>13</v>
      </c>
      <c r="F273">
        <v>149.69999999999999</v>
      </c>
      <c r="G273">
        <v>57</v>
      </c>
      <c r="H273" t="s">
        <v>15</v>
      </c>
      <c r="I273" t="s">
        <v>13</v>
      </c>
      <c r="J273" t="s">
        <v>15</v>
      </c>
      <c r="K273">
        <v>149.69999999999999</v>
      </c>
      <c r="L273" t="s">
        <v>936</v>
      </c>
      <c r="M273" t="s">
        <v>16</v>
      </c>
      <c r="N273" t="s">
        <v>923</v>
      </c>
      <c r="O273">
        <f>_xlfn.XLOOKUP(customer_satisfaction_cleaned[[#This Row],[Product Category]],Table2[Product Category],Table2[Delivery SLA (Days)],"NA",0)</f>
        <v>7</v>
      </c>
      <c r="P2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4" spans="1:16" x14ac:dyDescent="0.2">
      <c r="A274" t="s">
        <v>294</v>
      </c>
      <c r="B274" t="s">
        <v>47</v>
      </c>
      <c r="C274">
        <v>9</v>
      </c>
      <c r="D274">
        <v>1</v>
      </c>
      <c r="E274" t="s">
        <v>13</v>
      </c>
      <c r="F274">
        <v>88.97</v>
      </c>
      <c r="G274">
        <v>34</v>
      </c>
      <c r="H274" t="s">
        <v>20</v>
      </c>
      <c r="I274" t="s">
        <v>13</v>
      </c>
      <c r="J274" t="s">
        <v>20</v>
      </c>
      <c r="K274">
        <v>88.97</v>
      </c>
      <c r="L274" t="s">
        <v>16</v>
      </c>
      <c r="M274" t="s">
        <v>16</v>
      </c>
      <c r="N274" t="s">
        <v>923</v>
      </c>
      <c r="O274">
        <f>_xlfn.XLOOKUP(customer_satisfaction_cleaned[[#This Row],[Product Category]],Table2[Product Category],Table2[Delivery SLA (Days)],"NA",0)</f>
        <v>7</v>
      </c>
      <c r="P2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5" spans="1:16" x14ac:dyDescent="0.2">
      <c r="A275" t="s">
        <v>295</v>
      </c>
      <c r="B275" t="s">
        <v>23</v>
      </c>
      <c r="C275">
        <v>8</v>
      </c>
      <c r="D275">
        <v>6</v>
      </c>
      <c r="E275" t="s">
        <v>13</v>
      </c>
      <c r="F275">
        <v>8.6999999999999993</v>
      </c>
      <c r="G275">
        <v>31</v>
      </c>
      <c r="H275" t="s">
        <v>14</v>
      </c>
      <c r="I275" t="s">
        <v>13</v>
      </c>
      <c r="J275" t="s">
        <v>15</v>
      </c>
      <c r="K275">
        <v>8.6999999999999993</v>
      </c>
      <c r="L275" t="s">
        <v>16</v>
      </c>
      <c r="M275" t="s">
        <v>16</v>
      </c>
      <c r="N275" t="s">
        <v>923</v>
      </c>
      <c r="O275">
        <f>_xlfn.XLOOKUP(customer_satisfaction_cleaned[[#This Row],[Product Category]],Table2[Product Category],Table2[Delivery SLA (Days)],"NA",0)</f>
        <v>7</v>
      </c>
      <c r="P2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6" spans="1:16" x14ac:dyDescent="0.2">
      <c r="A276" t="s">
        <v>296</v>
      </c>
      <c r="B276" t="s">
        <v>18</v>
      </c>
      <c r="C276">
        <v>6</v>
      </c>
      <c r="D276">
        <v>4</v>
      </c>
      <c r="E276" t="s">
        <v>13</v>
      </c>
      <c r="F276">
        <v>161.19</v>
      </c>
      <c r="G276">
        <v>18</v>
      </c>
      <c r="H276" t="s">
        <v>34</v>
      </c>
      <c r="I276" t="s">
        <v>13</v>
      </c>
      <c r="J276" t="s">
        <v>25</v>
      </c>
      <c r="K276">
        <v>161.19</v>
      </c>
      <c r="L276" t="s">
        <v>16</v>
      </c>
      <c r="M276" t="s">
        <v>16</v>
      </c>
      <c r="N276" t="s">
        <v>924</v>
      </c>
      <c r="O276">
        <f>_xlfn.XLOOKUP(customer_satisfaction_cleaned[[#This Row],[Product Category]],Table2[Product Category],Table2[Delivery SLA (Days)],"NA",0)</f>
        <v>10</v>
      </c>
      <c r="P2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7" spans="1:16" x14ac:dyDescent="0.2">
      <c r="A277" t="s">
        <v>297</v>
      </c>
      <c r="B277" t="s">
        <v>23</v>
      </c>
      <c r="C277">
        <v>9</v>
      </c>
      <c r="D277">
        <v>5</v>
      </c>
      <c r="E277" t="s">
        <v>32</v>
      </c>
      <c r="F277">
        <v>88.03</v>
      </c>
      <c r="G277">
        <v>30</v>
      </c>
      <c r="H277" t="s">
        <v>44</v>
      </c>
      <c r="I277" t="s">
        <v>13</v>
      </c>
      <c r="J277" t="s">
        <v>20</v>
      </c>
      <c r="K277">
        <v>88.03</v>
      </c>
      <c r="L277" t="s">
        <v>16</v>
      </c>
      <c r="M277" t="s">
        <v>16</v>
      </c>
      <c r="N277" t="s">
        <v>923</v>
      </c>
      <c r="O277">
        <f>_xlfn.XLOOKUP(customer_satisfaction_cleaned[[#This Row],[Product Category]],Table2[Product Category],Table2[Delivery SLA (Days)],"NA",0)</f>
        <v>7</v>
      </c>
      <c r="P2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8" spans="1:16" x14ac:dyDescent="0.2">
      <c r="A278" t="s">
        <v>298</v>
      </c>
      <c r="B278" t="s">
        <v>18</v>
      </c>
      <c r="C278">
        <v>7</v>
      </c>
      <c r="D278">
        <v>3</v>
      </c>
      <c r="E278" t="s">
        <v>13</v>
      </c>
      <c r="F278">
        <v>34.29</v>
      </c>
      <c r="G278">
        <v>30</v>
      </c>
      <c r="H278" t="s">
        <v>24</v>
      </c>
      <c r="I278" t="s">
        <v>13</v>
      </c>
      <c r="J278" t="s">
        <v>25</v>
      </c>
      <c r="K278">
        <v>34.29</v>
      </c>
      <c r="L278" t="s">
        <v>16</v>
      </c>
      <c r="M278" t="s">
        <v>16</v>
      </c>
      <c r="N278" t="s">
        <v>923</v>
      </c>
      <c r="O278">
        <f>_xlfn.XLOOKUP(customer_satisfaction_cleaned[[#This Row],[Product Category]],Table2[Product Category],Table2[Delivery SLA (Days)],"NA",0)</f>
        <v>10</v>
      </c>
      <c r="P2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9" spans="1:16" x14ac:dyDescent="0.2">
      <c r="A279" t="s">
        <v>299</v>
      </c>
      <c r="B279" t="s">
        <v>23</v>
      </c>
      <c r="C279">
        <v>9</v>
      </c>
      <c r="D279">
        <v>4</v>
      </c>
      <c r="E279" t="s">
        <v>19</v>
      </c>
      <c r="F279">
        <v>116.99</v>
      </c>
      <c r="G279">
        <v>37</v>
      </c>
      <c r="H279" t="s">
        <v>14</v>
      </c>
      <c r="I279" t="s">
        <v>21</v>
      </c>
      <c r="J279" t="s">
        <v>15</v>
      </c>
      <c r="K279">
        <v>116.99</v>
      </c>
      <c r="L279" t="s">
        <v>16</v>
      </c>
      <c r="M279" t="s">
        <v>16</v>
      </c>
      <c r="N279" t="s">
        <v>923</v>
      </c>
      <c r="O279">
        <f>_xlfn.XLOOKUP(customer_satisfaction_cleaned[[#This Row],[Product Category]],Table2[Product Category],Table2[Delivery SLA (Days)],"NA",0)</f>
        <v>7</v>
      </c>
      <c r="P2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0" spans="1:16" x14ac:dyDescent="0.2">
      <c r="A280" t="s">
        <v>300</v>
      </c>
      <c r="B280" t="s">
        <v>18</v>
      </c>
      <c r="C280">
        <v>6</v>
      </c>
      <c r="D280">
        <v>7</v>
      </c>
      <c r="E280" t="s">
        <v>21</v>
      </c>
      <c r="F280">
        <v>92.22</v>
      </c>
      <c r="G280">
        <v>34</v>
      </c>
      <c r="H280" t="s">
        <v>29</v>
      </c>
      <c r="I280" t="s">
        <v>21</v>
      </c>
      <c r="J280" t="s">
        <v>25</v>
      </c>
      <c r="K280">
        <v>92.22</v>
      </c>
      <c r="L280" t="s">
        <v>16</v>
      </c>
      <c r="M280" t="s">
        <v>16</v>
      </c>
      <c r="N280" t="s">
        <v>923</v>
      </c>
      <c r="O280">
        <f>_xlfn.XLOOKUP(customer_satisfaction_cleaned[[#This Row],[Product Category]],Table2[Product Category],Table2[Delivery SLA (Days)],"NA",0)</f>
        <v>10</v>
      </c>
      <c r="P2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1" spans="1:16" x14ac:dyDescent="0.2">
      <c r="A281" t="s">
        <v>301</v>
      </c>
      <c r="B281" t="s">
        <v>12</v>
      </c>
      <c r="C281">
        <v>8</v>
      </c>
      <c r="D281">
        <v>6</v>
      </c>
      <c r="E281" t="s">
        <v>19</v>
      </c>
      <c r="F281">
        <v>204.04</v>
      </c>
      <c r="G281">
        <v>43</v>
      </c>
      <c r="H281" t="s">
        <v>29</v>
      </c>
      <c r="I281" t="s">
        <v>21</v>
      </c>
      <c r="J281" t="s">
        <v>25</v>
      </c>
      <c r="K281">
        <v>204.04</v>
      </c>
      <c r="L281" t="s">
        <v>16</v>
      </c>
      <c r="M281" t="s">
        <v>16</v>
      </c>
      <c r="N281" t="s">
        <v>923</v>
      </c>
      <c r="O281">
        <f>_xlfn.XLOOKUP(customer_satisfaction_cleaned[[#This Row],[Product Category]],Table2[Product Category],Table2[Delivery SLA (Days)],"NA",0)</f>
        <v>5</v>
      </c>
      <c r="P2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82" spans="1:16" x14ac:dyDescent="0.2">
      <c r="A282" t="s">
        <v>302</v>
      </c>
      <c r="B282" t="s">
        <v>47</v>
      </c>
      <c r="C282">
        <v>7</v>
      </c>
      <c r="D282">
        <v>6</v>
      </c>
      <c r="E282" t="s">
        <v>32</v>
      </c>
      <c r="F282">
        <v>71.87</v>
      </c>
      <c r="G282">
        <v>21</v>
      </c>
      <c r="H282" t="s">
        <v>44</v>
      </c>
      <c r="I282" t="s">
        <v>13</v>
      </c>
      <c r="J282" t="s">
        <v>20</v>
      </c>
      <c r="K282">
        <v>71.87</v>
      </c>
      <c r="L282" t="s">
        <v>16</v>
      </c>
      <c r="M282" t="s">
        <v>16</v>
      </c>
      <c r="N282" t="s">
        <v>924</v>
      </c>
      <c r="O282">
        <f>_xlfn.XLOOKUP(customer_satisfaction_cleaned[[#This Row],[Product Category]],Table2[Product Category],Table2[Delivery SLA (Days)],"NA",0)</f>
        <v>7</v>
      </c>
      <c r="P2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3" spans="1:16" x14ac:dyDescent="0.2">
      <c r="A283" t="s">
        <v>17</v>
      </c>
      <c r="B283" t="s">
        <v>18</v>
      </c>
      <c r="C283">
        <v>5</v>
      </c>
      <c r="D283">
        <v>5</v>
      </c>
      <c r="E283" t="s">
        <v>32</v>
      </c>
      <c r="F283">
        <v>67.13</v>
      </c>
      <c r="G283">
        <v>41</v>
      </c>
      <c r="H283" t="s">
        <v>24</v>
      </c>
      <c r="I283" t="s">
        <v>13</v>
      </c>
      <c r="J283" t="s">
        <v>25</v>
      </c>
      <c r="K283">
        <v>67.13</v>
      </c>
      <c r="L283" t="s">
        <v>16</v>
      </c>
      <c r="M283" t="s">
        <v>16</v>
      </c>
      <c r="N283" t="s">
        <v>923</v>
      </c>
      <c r="O283">
        <f>_xlfn.XLOOKUP(customer_satisfaction_cleaned[[#This Row],[Product Category]],Table2[Product Category],Table2[Delivery SLA (Days)],"NA",0)</f>
        <v>10</v>
      </c>
      <c r="P2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4" spans="1:16" x14ac:dyDescent="0.2">
      <c r="A284" t="s">
        <v>303</v>
      </c>
      <c r="B284" t="s">
        <v>47</v>
      </c>
      <c r="C284">
        <v>6</v>
      </c>
      <c r="D284">
        <v>5</v>
      </c>
      <c r="E284" t="s">
        <v>32</v>
      </c>
      <c r="F284">
        <v>59.66</v>
      </c>
      <c r="G284">
        <v>18</v>
      </c>
      <c r="H284" t="s">
        <v>15</v>
      </c>
      <c r="I284" t="s">
        <v>13</v>
      </c>
      <c r="J284" t="s">
        <v>15</v>
      </c>
      <c r="K284">
        <v>59.66</v>
      </c>
      <c r="L284" t="s">
        <v>16</v>
      </c>
      <c r="M284" t="s">
        <v>16</v>
      </c>
      <c r="N284" t="s">
        <v>924</v>
      </c>
      <c r="O284">
        <f>_xlfn.XLOOKUP(customer_satisfaction_cleaned[[#This Row],[Product Category]],Table2[Product Category],Table2[Delivery SLA (Days)],"NA",0)</f>
        <v>7</v>
      </c>
      <c r="P2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5" spans="1:16" x14ac:dyDescent="0.2">
      <c r="A285" t="s">
        <v>304</v>
      </c>
      <c r="B285" t="s">
        <v>47</v>
      </c>
      <c r="C285">
        <v>12</v>
      </c>
      <c r="D285">
        <v>7</v>
      </c>
      <c r="E285" t="s">
        <v>13</v>
      </c>
      <c r="F285">
        <v>84.85</v>
      </c>
      <c r="G285">
        <v>49</v>
      </c>
      <c r="H285" t="s">
        <v>29</v>
      </c>
      <c r="I285" t="s">
        <v>13</v>
      </c>
      <c r="J285" t="s">
        <v>25</v>
      </c>
      <c r="K285">
        <v>84.85</v>
      </c>
      <c r="L285" t="s">
        <v>16</v>
      </c>
      <c r="M285" t="s">
        <v>16</v>
      </c>
      <c r="N285" t="s">
        <v>923</v>
      </c>
      <c r="O285">
        <f>_xlfn.XLOOKUP(customer_satisfaction_cleaned[[#This Row],[Product Category]],Table2[Product Category],Table2[Delivery SLA (Days)],"NA",0)</f>
        <v>7</v>
      </c>
      <c r="P2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6" spans="1:16" x14ac:dyDescent="0.2">
      <c r="A286" t="s">
        <v>305</v>
      </c>
      <c r="B286" t="s">
        <v>12</v>
      </c>
      <c r="C286">
        <v>8</v>
      </c>
      <c r="D286">
        <v>5</v>
      </c>
      <c r="E286" t="s">
        <v>19</v>
      </c>
      <c r="F286">
        <v>110.96</v>
      </c>
      <c r="G286">
        <v>34</v>
      </c>
      <c r="H286" t="s">
        <v>29</v>
      </c>
      <c r="I286" t="s">
        <v>21</v>
      </c>
      <c r="J286" t="s">
        <v>25</v>
      </c>
      <c r="K286">
        <v>110.96</v>
      </c>
      <c r="L286" t="s">
        <v>16</v>
      </c>
      <c r="M286" t="s">
        <v>16</v>
      </c>
      <c r="N286" t="s">
        <v>923</v>
      </c>
      <c r="O286">
        <f>_xlfn.XLOOKUP(customer_satisfaction_cleaned[[#This Row],[Product Category]],Table2[Product Category],Table2[Delivery SLA (Days)],"NA",0)</f>
        <v>5</v>
      </c>
      <c r="P2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7" spans="1:16" x14ac:dyDescent="0.2">
      <c r="A287" t="s">
        <v>306</v>
      </c>
      <c r="B287" t="s">
        <v>12</v>
      </c>
      <c r="C287">
        <v>6</v>
      </c>
      <c r="D287">
        <v>4</v>
      </c>
      <c r="E287" t="s">
        <v>19</v>
      </c>
      <c r="F287">
        <v>70.459999999999994</v>
      </c>
      <c r="G287">
        <v>31</v>
      </c>
      <c r="H287" t="s">
        <v>34</v>
      </c>
      <c r="I287" t="s">
        <v>21</v>
      </c>
      <c r="J287" t="s">
        <v>25</v>
      </c>
      <c r="K287">
        <v>70.459999999999994</v>
      </c>
      <c r="L287" t="s">
        <v>16</v>
      </c>
      <c r="M287" t="s">
        <v>16</v>
      </c>
      <c r="N287" t="s">
        <v>923</v>
      </c>
      <c r="O287">
        <f>_xlfn.XLOOKUP(customer_satisfaction_cleaned[[#This Row],[Product Category]],Table2[Product Category],Table2[Delivery SLA (Days)],"NA",0)</f>
        <v>5</v>
      </c>
      <c r="P2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8" spans="1:16" x14ac:dyDescent="0.2">
      <c r="A288" t="s">
        <v>307</v>
      </c>
      <c r="B288" t="s">
        <v>18</v>
      </c>
      <c r="C288">
        <v>5</v>
      </c>
      <c r="D288">
        <v>3</v>
      </c>
      <c r="E288" t="s">
        <v>29</v>
      </c>
      <c r="F288">
        <v>84.92</v>
      </c>
      <c r="G288">
        <v>32</v>
      </c>
      <c r="H288" t="s">
        <v>44</v>
      </c>
      <c r="I288" t="s">
        <v>25</v>
      </c>
      <c r="J288" t="s">
        <v>20</v>
      </c>
      <c r="K288">
        <v>84.92</v>
      </c>
      <c r="L288" t="s">
        <v>16</v>
      </c>
      <c r="M288" t="s">
        <v>16</v>
      </c>
      <c r="N288" t="s">
        <v>923</v>
      </c>
      <c r="O288">
        <f>_xlfn.XLOOKUP(customer_satisfaction_cleaned[[#This Row],[Product Category]],Table2[Product Category],Table2[Delivery SLA (Days)],"NA",0)</f>
        <v>10</v>
      </c>
      <c r="P2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9" spans="1:16" x14ac:dyDescent="0.2">
      <c r="A289" t="s">
        <v>308</v>
      </c>
      <c r="B289" t="s">
        <v>47</v>
      </c>
      <c r="C289">
        <v>7</v>
      </c>
      <c r="D289">
        <v>3</v>
      </c>
      <c r="E289" t="s">
        <v>21</v>
      </c>
      <c r="F289">
        <v>36.03</v>
      </c>
      <c r="G289">
        <v>17</v>
      </c>
      <c r="H289" t="s">
        <v>20</v>
      </c>
      <c r="I289" t="s">
        <v>21</v>
      </c>
      <c r="J289" t="s">
        <v>20</v>
      </c>
      <c r="K289">
        <v>36.03</v>
      </c>
      <c r="L289" t="s">
        <v>16</v>
      </c>
      <c r="M289" t="s">
        <v>16</v>
      </c>
      <c r="N289" t="s">
        <v>924</v>
      </c>
      <c r="O289">
        <f>_xlfn.XLOOKUP(customer_satisfaction_cleaned[[#This Row],[Product Category]],Table2[Product Category],Table2[Delivery SLA (Days)],"NA",0)</f>
        <v>7</v>
      </c>
      <c r="P2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0" spans="1:16" x14ac:dyDescent="0.2">
      <c r="A290" t="s">
        <v>309</v>
      </c>
      <c r="B290" t="s">
        <v>12</v>
      </c>
      <c r="C290">
        <v>7</v>
      </c>
      <c r="D290">
        <v>6</v>
      </c>
      <c r="E290" t="s">
        <v>13</v>
      </c>
      <c r="F290">
        <v>147.13</v>
      </c>
      <c r="G290">
        <v>58</v>
      </c>
      <c r="H290" t="s">
        <v>29</v>
      </c>
      <c r="I290" t="s">
        <v>13</v>
      </c>
      <c r="J290" t="s">
        <v>25</v>
      </c>
      <c r="K290">
        <v>147.13</v>
      </c>
      <c r="L290" t="s">
        <v>16</v>
      </c>
      <c r="M290" t="s">
        <v>16</v>
      </c>
      <c r="N290" t="s">
        <v>923</v>
      </c>
      <c r="O290">
        <f>_xlfn.XLOOKUP(customer_satisfaction_cleaned[[#This Row],[Product Category]],Table2[Product Category],Table2[Delivery SLA (Days)],"NA",0)</f>
        <v>5</v>
      </c>
      <c r="P2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91" spans="1:16" x14ac:dyDescent="0.2">
      <c r="A291" t="s">
        <v>17</v>
      </c>
      <c r="B291" t="s">
        <v>18</v>
      </c>
      <c r="C291">
        <v>11</v>
      </c>
      <c r="D291">
        <v>6</v>
      </c>
      <c r="E291" t="s">
        <v>29</v>
      </c>
      <c r="F291">
        <v>116.91</v>
      </c>
      <c r="G291">
        <v>39</v>
      </c>
      <c r="H291" t="s">
        <v>15</v>
      </c>
      <c r="I291" t="s">
        <v>25</v>
      </c>
      <c r="J291" t="s">
        <v>15</v>
      </c>
      <c r="K291">
        <v>116.91</v>
      </c>
      <c r="L291" t="s">
        <v>16</v>
      </c>
      <c r="M291" t="s">
        <v>16</v>
      </c>
      <c r="N291" t="s">
        <v>923</v>
      </c>
      <c r="O291">
        <f>_xlfn.XLOOKUP(customer_satisfaction_cleaned[[#This Row],[Product Category]],Table2[Product Category],Table2[Delivery SLA (Days)],"NA",0)</f>
        <v>10</v>
      </c>
      <c r="P2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2" spans="1:16" x14ac:dyDescent="0.2">
      <c r="A292" t="s">
        <v>310</v>
      </c>
      <c r="B292" t="s">
        <v>12</v>
      </c>
      <c r="C292">
        <v>7</v>
      </c>
      <c r="D292">
        <v>7</v>
      </c>
      <c r="E292" t="s">
        <v>32</v>
      </c>
      <c r="F292">
        <v>108.99</v>
      </c>
      <c r="G292">
        <v>19</v>
      </c>
      <c r="H292" t="s">
        <v>29</v>
      </c>
      <c r="I292" t="s">
        <v>13</v>
      </c>
      <c r="J292" t="s">
        <v>25</v>
      </c>
      <c r="K292">
        <v>108.99</v>
      </c>
      <c r="L292" t="s">
        <v>16</v>
      </c>
      <c r="M292" t="s">
        <v>16</v>
      </c>
      <c r="N292" t="s">
        <v>924</v>
      </c>
      <c r="O292">
        <f>_xlfn.XLOOKUP(customer_satisfaction_cleaned[[#This Row],[Product Category]],Table2[Product Category],Table2[Delivery SLA (Days)],"NA",0)</f>
        <v>5</v>
      </c>
      <c r="P2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93" spans="1:16" x14ac:dyDescent="0.2">
      <c r="A293" t="s">
        <v>311</v>
      </c>
      <c r="B293" t="s">
        <v>12</v>
      </c>
      <c r="C293">
        <v>8</v>
      </c>
      <c r="D293">
        <v>4</v>
      </c>
      <c r="E293" t="s">
        <v>21</v>
      </c>
      <c r="F293">
        <v>37.47</v>
      </c>
      <c r="G293">
        <v>63</v>
      </c>
      <c r="H293" t="s">
        <v>24</v>
      </c>
      <c r="I293" t="s">
        <v>21</v>
      </c>
      <c r="J293" t="s">
        <v>25</v>
      </c>
      <c r="K293">
        <v>37.47</v>
      </c>
      <c r="L293" t="s">
        <v>16</v>
      </c>
      <c r="M293" t="s">
        <v>16</v>
      </c>
      <c r="N293" t="s">
        <v>925</v>
      </c>
      <c r="O293">
        <f>_xlfn.XLOOKUP(customer_satisfaction_cleaned[[#This Row],[Product Category]],Table2[Product Category],Table2[Delivery SLA (Days)],"NA",0)</f>
        <v>5</v>
      </c>
      <c r="P2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4" spans="1:16" x14ac:dyDescent="0.2">
      <c r="A294" t="s">
        <v>312</v>
      </c>
      <c r="B294" t="s">
        <v>18</v>
      </c>
      <c r="C294">
        <v>7</v>
      </c>
      <c r="D294">
        <v>7</v>
      </c>
      <c r="E294" t="s">
        <v>32</v>
      </c>
      <c r="F294">
        <v>11.77</v>
      </c>
      <c r="G294">
        <v>57</v>
      </c>
      <c r="H294" t="s">
        <v>44</v>
      </c>
      <c r="I294" t="s">
        <v>13</v>
      </c>
      <c r="J294" t="s">
        <v>20</v>
      </c>
      <c r="K294">
        <v>11.77</v>
      </c>
      <c r="L294" t="s">
        <v>16</v>
      </c>
      <c r="M294" t="s">
        <v>16</v>
      </c>
      <c r="N294" t="s">
        <v>923</v>
      </c>
      <c r="O294">
        <f>_xlfn.XLOOKUP(customer_satisfaction_cleaned[[#This Row],[Product Category]],Table2[Product Category],Table2[Delivery SLA (Days)],"NA",0)</f>
        <v>10</v>
      </c>
      <c r="P2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5" spans="1:16" x14ac:dyDescent="0.2">
      <c r="A295" t="s">
        <v>313</v>
      </c>
      <c r="B295" t="s">
        <v>47</v>
      </c>
      <c r="C295">
        <v>9</v>
      </c>
      <c r="D295">
        <v>4</v>
      </c>
      <c r="E295" t="s">
        <v>34</v>
      </c>
      <c r="F295">
        <v>214.74</v>
      </c>
      <c r="G295">
        <v>46</v>
      </c>
      <c r="H295" t="s">
        <v>42</v>
      </c>
      <c r="I295" t="s">
        <v>25</v>
      </c>
      <c r="J295" t="s">
        <v>25</v>
      </c>
      <c r="K295">
        <v>214.74</v>
      </c>
      <c r="L295" t="s">
        <v>16</v>
      </c>
      <c r="M295" t="s">
        <v>16</v>
      </c>
      <c r="N295" t="s">
        <v>923</v>
      </c>
      <c r="O295">
        <f>_xlfn.XLOOKUP(customer_satisfaction_cleaned[[#This Row],[Product Category]],Table2[Product Category],Table2[Delivery SLA (Days)],"NA",0)</f>
        <v>7</v>
      </c>
      <c r="P2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6" spans="1:16" x14ac:dyDescent="0.2">
      <c r="A296" t="s">
        <v>314</v>
      </c>
      <c r="B296" t="s">
        <v>18</v>
      </c>
      <c r="C296">
        <v>8</v>
      </c>
      <c r="D296">
        <v>6</v>
      </c>
      <c r="E296" t="s">
        <v>29</v>
      </c>
      <c r="F296">
        <v>140.80000000000001</v>
      </c>
      <c r="G296">
        <v>34</v>
      </c>
      <c r="H296" t="s">
        <v>44</v>
      </c>
      <c r="I296" t="s">
        <v>25</v>
      </c>
      <c r="J296" t="s">
        <v>20</v>
      </c>
      <c r="K296">
        <v>140.80000000000001</v>
      </c>
      <c r="L296" t="s">
        <v>16</v>
      </c>
      <c r="M296" t="s">
        <v>16</v>
      </c>
      <c r="N296" t="s">
        <v>923</v>
      </c>
      <c r="O296">
        <f>_xlfn.XLOOKUP(customer_satisfaction_cleaned[[#This Row],[Product Category]],Table2[Product Category],Table2[Delivery SLA (Days)],"NA",0)</f>
        <v>10</v>
      </c>
      <c r="P2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7" spans="1:16" x14ac:dyDescent="0.2">
      <c r="A297" t="s">
        <v>315</v>
      </c>
      <c r="B297" t="s">
        <v>47</v>
      </c>
      <c r="C297">
        <v>8</v>
      </c>
      <c r="D297">
        <v>5</v>
      </c>
      <c r="E297" t="s">
        <v>29</v>
      </c>
      <c r="F297">
        <v>28.59</v>
      </c>
      <c r="G297">
        <v>28</v>
      </c>
      <c r="H297" t="s">
        <v>34</v>
      </c>
      <c r="I297" t="s">
        <v>25</v>
      </c>
      <c r="J297" t="s">
        <v>25</v>
      </c>
      <c r="K297">
        <v>28.59</v>
      </c>
      <c r="L297" t="s">
        <v>16</v>
      </c>
      <c r="M297" t="s">
        <v>16</v>
      </c>
      <c r="N297" t="s">
        <v>924</v>
      </c>
      <c r="O297">
        <f>_xlfn.XLOOKUP(customer_satisfaction_cleaned[[#This Row],[Product Category]],Table2[Product Category],Table2[Delivery SLA (Days)],"NA",0)</f>
        <v>7</v>
      </c>
      <c r="P2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8" spans="1:16" x14ac:dyDescent="0.2">
      <c r="A298" t="s">
        <v>316</v>
      </c>
      <c r="B298" t="s">
        <v>12</v>
      </c>
      <c r="C298">
        <v>8</v>
      </c>
      <c r="D298">
        <v>7</v>
      </c>
      <c r="E298" t="s">
        <v>29</v>
      </c>
      <c r="F298">
        <v>55.46</v>
      </c>
      <c r="H298" t="s">
        <v>20</v>
      </c>
      <c r="I298" t="s">
        <v>25</v>
      </c>
      <c r="J298" t="s">
        <v>20</v>
      </c>
      <c r="K298">
        <v>55.46</v>
      </c>
      <c r="L298" t="s">
        <v>16</v>
      </c>
      <c r="M298" t="s">
        <v>16</v>
      </c>
      <c r="N298" t="s">
        <v>922</v>
      </c>
      <c r="O298">
        <f>_xlfn.XLOOKUP(customer_satisfaction_cleaned[[#This Row],[Product Category]],Table2[Product Category],Table2[Delivery SLA (Days)],"NA",0)</f>
        <v>5</v>
      </c>
      <c r="P2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99" spans="1:16" x14ac:dyDescent="0.2">
      <c r="A299" t="s">
        <v>317</v>
      </c>
      <c r="B299" t="s">
        <v>18</v>
      </c>
      <c r="C299">
        <v>8</v>
      </c>
      <c r="D299">
        <v>5</v>
      </c>
      <c r="E299" t="s">
        <v>13</v>
      </c>
      <c r="F299">
        <v>141.24</v>
      </c>
      <c r="G299">
        <v>52</v>
      </c>
      <c r="H299" t="s">
        <v>44</v>
      </c>
      <c r="I299" t="s">
        <v>13</v>
      </c>
      <c r="J299" t="s">
        <v>20</v>
      </c>
      <c r="K299">
        <v>141.24</v>
      </c>
      <c r="L299" t="s">
        <v>16</v>
      </c>
      <c r="M299" t="s">
        <v>16</v>
      </c>
      <c r="N299" t="s">
        <v>923</v>
      </c>
      <c r="O299">
        <f>_xlfn.XLOOKUP(customer_satisfaction_cleaned[[#This Row],[Product Category]],Table2[Product Category],Table2[Delivery SLA (Days)],"NA",0)</f>
        <v>10</v>
      </c>
      <c r="P2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0" spans="1:16" x14ac:dyDescent="0.2">
      <c r="A300" t="s">
        <v>318</v>
      </c>
      <c r="B300" t="s">
        <v>47</v>
      </c>
      <c r="C300">
        <v>6</v>
      </c>
      <c r="D300">
        <v>5</v>
      </c>
      <c r="E300" t="s">
        <v>21</v>
      </c>
      <c r="F300">
        <v>190.48</v>
      </c>
      <c r="G300">
        <v>33</v>
      </c>
      <c r="H300" t="s">
        <v>14</v>
      </c>
      <c r="I300" t="s">
        <v>21</v>
      </c>
      <c r="J300" t="s">
        <v>15</v>
      </c>
      <c r="K300">
        <v>190.48</v>
      </c>
      <c r="L300" t="s">
        <v>16</v>
      </c>
      <c r="M300" t="s">
        <v>16</v>
      </c>
      <c r="N300" t="s">
        <v>923</v>
      </c>
      <c r="O300">
        <f>_xlfn.XLOOKUP(customer_satisfaction_cleaned[[#This Row],[Product Category]],Table2[Product Category],Table2[Delivery SLA (Days)],"NA",0)</f>
        <v>7</v>
      </c>
      <c r="P3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1" spans="1:16" x14ac:dyDescent="0.2">
      <c r="A301" t="s">
        <v>319</v>
      </c>
      <c r="B301" t="s">
        <v>47</v>
      </c>
      <c r="C301">
        <v>4</v>
      </c>
      <c r="D301">
        <v>8</v>
      </c>
      <c r="E301" t="s">
        <v>21</v>
      </c>
      <c r="F301">
        <v>131.77000000000001</v>
      </c>
      <c r="G301">
        <v>30</v>
      </c>
      <c r="H301" t="s">
        <v>14</v>
      </c>
      <c r="I301" t="s">
        <v>21</v>
      </c>
      <c r="J301" t="s">
        <v>15</v>
      </c>
      <c r="K301">
        <v>131.77000000000001</v>
      </c>
      <c r="L301" t="s">
        <v>16</v>
      </c>
      <c r="M301" t="s">
        <v>16</v>
      </c>
      <c r="N301" t="s">
        <v>923</v>
      </c>
      <c r="O301">
        <f>_xlfn.XLOOKUP(customer_satisfaction_cleaned[[#This Row],[Product Category]],Table2[Product Category],Table2[Delivery SLA (Days)],"NA",0)</f>
        <v>7</v>
      </c>
      <c r="P3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02" spans="1:16" x14ac:dyDescent="0.2">
      <c r="A302" t="s">
        <v>17</v>
      </c>
      <c r="B302" t="s">
        <v>18</v>
      </c>
      <c r="D302">
        <v>6</v>
      </c>
      <c r="E302" t="s">
        <v>34</v>
      </c>
      <c r="F302">
        <v>44.09</v>
      </c>
      <c r="G302">
        <v>26</v>
      </c>
      <c r="H302" t="s">
        <v>44</v>
      </c>
      <c r="I302" t="s">
        <v>25</v>
      </c>
      <c r="J302" t="s">
        <v>20</v>
      </c>
      <c r="K302">
        <v>44.09</v>
      </c>
      <c r="L302" t="s">
        <v>936</v>
      </c>
      <c r="M302" t="s">
        <v>16</v>
      </c>
      <c r="N302" t="s">
        <v>924</v>
      </c>
      <c r="O302">
        <f>_xlfn.XLOOKUP(customer_satisfaction_cleaned[[#This Row],[Product Category]],Table2[Product Category],Table2[Delivery SLA (Days)],"NA",0)</f>
        <v>10</v>
      </c>
      <c r="P3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3" spans="1:16" x14ac:dyDescent="0.2">
      <c r="A303" t="s">
        <v>320</v>
      </c>
      <c r="B303" t="s">
        <v>12</v>
      </c>
      <c r="C303">
        <v>5</v>
      </c>
      <c r="E303" t="s">
        <v>21</v>
      </c>
      <c r="F303">
        <v>61.71</v>
      </c>
      <c r="G303">
        <v>37</v>
      </c>
      <c r="H303" t="s">
        <v>42</v>
      </c>
      <c r="I303" t="s">
        <v>21</v>
      </c>
      <c r="J303" t="s">
        <v>25</v>
      </c>
      <c r="K303">
        <v>61.71</v>
      </c>
      <c r="L303" t="s">
        <v>16</v>
      </c>
      <c r="M303" t="s">
        <v>937</v>
      </c>
      <c r="N303" t="s">
        <v>923</v>
      </c>
      <c r="O303">
        <f>_xlfn.XLOOKUP(customer_satisfaction_cleaned[[#This Row],[Product Category]],Table2[Product Category],Table2[Delivery SLA (Days)],"NA",0)</f>
        <v>5</v>
      </c>
      <c r="P3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04" spans="1:16" x14ac:dyDescent="0.2">
      <c r="A304" t="s">
        <v>321</v>
      </c>
      <c r="B304" t="s">
        <v>47</v>
      </c>
      <c r="D304">
        <v>7</v>
      </c>
      <c r="E304" t="s">
        <v>19</v>
      </c>
      <c r="F304">
        <v>121.69</v>
      </c>
      <c r="G304">
        <v>15</v>
      </c>
      <c r="H304" t="s">
        <v>24</v>
      </c>
      <c r="I304" t="s">
        <v>21</v>
      </c>
      <c r="J304" t="s">
        <v>25</v>
      </c>
      <c r="K304">
        <v>121.69</v>
      </c>
      <c r="L304" t="s">
        <v>936</v>
      </c>
      <c r="M304" t="s">
        <v>16</v>
      </c>
      <c r="N304" t="s">
        <v>924</v>
      </c>
      <c r="O304">
        <f>_xlfn.XLOOKUP(customer_satisfaction_cleaned[[#This Row],[Product Category]],Table2[Product Category],Table2[Delivery SLA (Days)],"NA",0)</f>
        <v>7</v>
      </c>
      <c r="P3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5" spans="1:16" x14ac:dyDescent="0.2">
      <c r="A305" t="s">
        <v>322</v>
      </c>
      <c r="B305" t="s">
        <v>36</v>
      </c>
      <c r="C305">
        <v>7</v>
      </c>
      <c r="E305" t="s">
        <v>13</v>
      </c>
      <c r="F305">
        <v>174.52</v>
      </c>
      <c r="G305">
        <v>34</v>
      </c>
      <c r="H305" t="s">
        <v>42</v>
      </c>
      <c r="I305" t="s">
        <v>13</v>
      </c>
      <c r="J305" t="s">
        <v>25</v>
      </c>
      <c r="K305">
        <v>174.52</v>
      </c>
      <c r="L305" t="s">
        <v>16</v>
      </c>
      <c r="M305" t="s">
        <v>937</v>
      </c>
      <c r="N305" t="s">
        <v>923</v>
      </c>
      <c r="O305" t="str">
        <f>_xlfn.XLOOKUP(customer_satisfaction_cleaned[[#This Row],[Product Category]],Table2[Product Category],Table2[Delivery SLA (Days)],"NA",0)</f>
        <v>NA</v>
      </c>
      <c r="P3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06" spans="1:16" x14ac:dyDescent="0.2">
      <c r="A306" t="s">
        <v>323</v>
      </c>
      <c r="B306" t="s">
        <v>12</v>
      </c>
      <c r="C306">
        <v>7</v>
      </c>
      <c r="D306">
        <v>6</v>
      </c>
      <c r="E306" t="s">
        <v>29</v>
      </c>
      <c r="F306">
        <v>55.44</v>
      </c>
      <c r="G306">
        <v>45</v>
      </c>
      <c r="H306" t="s">
        <v>44</v>
      </c>
      <c r="I306" t="s">
        <v>25</v>
      </c>
      <c r="J306" t="s">
        <v>20</v>
      </c>
      <c r="K306">
        <v>55.44</v>
      </c>
      <c r="L306" t="s">
        <v>16</v>
      </c>
      <c r="M306" t="s">
        <v>16</v>
      </c>
      <c r="N306" t="s">
        <v>923</v>
      </c>
      <c r="O306">
        <f>_xlfn.XLOOKUP(customer_satisfaction_cleaned[[#This Row],[Product Category]],Table2[Product Category],Table2[Delivery SLA (Days)],"NA",0)</f>
        <v>5</v>
      </c>
      <c r="P3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07" spans="1:16" x14ac:dyDescent="0.2">
      <c r="A307" t="s">
        <v>324</v>
      </c>
      <c r="B307" t="s">
        <v>12</v>
      </c>
      <c r="C307">
        <v>11</v>
      </c>
      <c r="D307">
        <v>9</v>
      </c>
      <c r="E307" t="s">
        <v>13</v>
      </c>
      <c r="F307">
        <v>42.7</v>
      </c>
      <c r="G307">
        <v>32</v>
      </c>
      <c r="H307" t="s">
        <v>15</v>
      </c>
      <c r="I307" t="s">
        <v>13</v>
      </c>
      <c r="J307" t="s">
        <v>15</v>
      </c>
      <c r="K307">
        <v>42.7</v>
      </c>
      <c r="L307" t="s">
        <v>16</v>
      </c>
      <c r="M307" t="s">
        <v>16</v>
      </c>
      <c r="N307" t="s">
        <v>923</v>
      </c>
      <c r="O307">
        <f>_xlfn.XLOOKUP(customer_satisfaction_cleaned[[#This Row],[Product Category]],Table2[Product Category],Table2[Delivery SLA (Days)],"NA",0)</f>
        <v>5</v>
      </c>
      <c r="P3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08" spans="1:16" x14ac:dyDescent="0.2">
      <c r="A308" t="s">
        <v>325</v>
      </c>
      <c r="B308" t="s">
        <v>18</v>
      </c>
      <c r="C308">
        <v>4</v>
      </c>
      <c r="D308">
        <v>6</v>
      </c>
      <c r="E308" t="s">
        <v>21</v>
      </c>
      <c r="F308">
        <v>43.12</v>
      </c>
      <c r="G308">
        <v>43</v>
      </c>
      <c r="H308" t="s">
        <v>14</v>
      </c>
      <c r="I308" t="s">
        <v>21</v>
      </c>
      <c r="J308" t="s">
        <v>15</v>
      </c>
      <c r="K308">
        <v>43.12</v>
      </c>
      <c r="L308" t="s">
        <v>16</v>
      </c>
      <c r="M308" t="s">
        <v>16</v>
      </c>
      <c r="N308" t="s">
        <v>923</v>
      </c>
      <c r="O308">
        <f>_xlfn.XLOOKUP(customer_satisfaction_cleaned[[#This Row],[Product Category]],Table2[Product Category],Table2[Delivery SLA (Days)],"NA",0)</f>
        <v>10</v>
      </c>
      <c r="P3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9" spans="1:16" x14ac:dyDescent="0.2">
      <c r="A309" t="s">
        <v>326</v>
      </c>
      <c r="B309" t="s">
        <v>18</v>
      </c>
      <c r="C309">
        <v>5</v>
      </c>
      <c r="D309">
        <v>5</v>
      </c>
      <c r="E309" t="s">
        <v>13</v>
      </c>
      <c r="F309">
        <v>5.76</v>
      </c>
      <c r="G309">
        <v>48</v>
      </c>
      <c r="H309" t="s">
        <v>20</v>
      </c>
      <c r="I309" t="s">
        <v>13</v>
      </c>
      <c r="J309" t="s">
        <v>20</v>
      </c>
      <c r="K309">
        <v>5.76</v>
      </c>
      <c r="L309" t="s">
        <v>16</v>
      </c>
      <c r="M309" t="s">
        <v>16</v>
      </c>
      <c r="N309" t="s">
        <v>923</v>
      </c>
      <c r="O309">
        <f>_xlfn.XLOOKUP(customer_satisfaction_cleaned[[#This Row],[Product Category]],Table2[Product Category],Table2[Delivery SLA (Days)],"NA",0)</f>
        <v>10</v>
      </c>
      <c r="P3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0" spans="1:16" x14ac:dyDescent="0.2">
      <c r="A310" t="s">
        <v>327</v>
      </c>
      <c r="B310" t="s">
        <v>23</v>
      </c>
      <c r="C310">
        <v>8</v>
      </c>
      <c r="D310">
        <v>8</v>
      </c>
      <c r="E310" t="s">
        <v>32</v>
      </c>
      <c r="F310">
        <v>76.58</v>
      </c>
      <c r="G310">
        <v>58</v>
      </c>
      <c r="H310" t="s">
        <v>29</v>
      </c>
      <c r="I310" t="s">
        <v>13</v>
      </c>
      <c r="J310" t="s">
        <v>25</v>
      </c>
      <c r="K310">
        <v>76.58</v>
      </c>
      <c r="L310" t="s">
        <v>16</v>
      </c>
      <c r="M310" t="s">
        <v>16</v>
      </c>
      <c r="N310" t="s">
        <v>923</v>
      </c>
      <c r="O310">
        <f>_xlfn.XLOOKUP(customer_satisfaction_cleaned[[#This Row],[Product Category]],Table2[Product Category],Table2[Delivery SLA (Days)],"NA",0)</f>
        <v>7</v>
      </c>
      <c r="P3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11" spans="1:16" x14ac:dyDescent="0.2">
      <c r="A311" t="s">
        <v>328</v>
      </c>
      <c r="B311" t="s">
        <v>47</v>
      </c>
      <c r="C311">
        <v>7</v>
      </c>
      <c r="D311">
        <v>7</v>
      </c>
      <c r="E311" t="s">
        <v>19</v>
      </c>
      <c r="F311">
        <v>1.5</v>
      </c>
      <c r="G311">
        <v>64</v>
      </c>
      <c r="H311" t="s">
        <v>29</v>
      </c>
      <c r="I311" t="s">
        <v>21</v>
      </c>
      <c r="J311" t="s">
        <v>25</v>
      </c>
      <c r="K311">
        <v>1.5</v>
      </c>
      <c r="L311" t="s">
        <v>16</v>
      </c>
      <c r="M311" t="s">
        <v>16</v>
      </c>
      <c r="N311" t="s">
        <v>925</v>
      </c>
      <c r="O311">
        <f>_xlfn.XLOOKUP(customer_satisfaction_cleaned[[#This Row],[Product Category]],Table2[Product Category],Table2[Delivery SLA (Days)],"NA",0)</f>
        <v>7</v>
      </c>
      <c r="P3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2" spans="1:16" x14ac:dyDescent="0.2">
      <c r="A312" t="s">
        <v>329</v>
      </c>
      <c r="B312" t="s">
        <v>23</v>
      </c>
      <c r="C312">
        <v>5</v>
      </c>
      <c r="D312">
        <v>6</v>
      </c>
      <c r="E312" t="s">
        <v>21</v>
      </c>
      <c r="F312">
        <v>64.67</v>
      </c>
      <c r="G312">
        <v>30</v>
      </c>
      <c r="H312" t="s">
        <v>14</v>
      </c>
      <c r="I312" t="s">
        <v>21</v>
      </c>
      <c r="J312" t="s">
        <v>15</v>
      </c>
      <c r="K312">
        <v>64.67</v>
      </c>
      <c r="L312" t="s">
        <v>16</v>
      </c>
      <c r="M312" t="s">
        <v>16</v>
      </c>
      <c r="N312" t="s">
        <v>923</v>
      </c>
      <c r="O312">
        <f>_xlfn.XLOOKUP(customer_satisfaction_cleaned[[#This Row],[Product Category]],Table2[Product Category],Table2[Delivery SLA (Days)],"NA",0)</f>
        <v>7</v>
      </c>
      <c r="P3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3" spans="1:16" x14ac:dyDescent="0.2">
      <c r="A313" t="s">
        <v>330</v>
      </c>
      <c r="B313" t="s">
        <v>23</v>
      </c>
      <c r="C313">
        <v>10</v>
      </c>
      <c r="D313">
        <v>1</v>
      </c>
      <c r="E313" t="s">
        <v>34</v>
      </c>
      <c r="F313">
        <v>89.07</v>
      </c>
      <c r="G313">
        <v>41</v>
      </c>
      <c r="H313" t="s">
        <v>24</v>
      </c>
      <c r="I313" t="s">
        <v>25</v>
      </c>
      <c r="J313" t="s">
        <v>25</v>
      </c>
      <c r="K313">
        <v>89.07</v>
      </c>
      <c r="L313" t="s">
        <v>16</v>
      </c>
      <c r="M313" t="s">
        <v>16</v>
      </c>
      <c r="N313" t="s">
        <v>923</v>
      </c>
      <c r="O313">
        <f>_xlfn.XLOOKUP(customer_satisfaction_cleaned[[#This Row],[Product Category]],Table2[Product Category],Table2[Delivery SLA (Days)],"NA",0)</f>
        <v>7</v>
      </c>
      <c r="P3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4" spans="1:16" x14ac:dyDescent="0.2">
      <c r="A314" t="s">
        <v>331</v>
      </c>
      <c r="B314" t="s">
        <v>12</v>
      </c>
      <c r="C314">
        <v>8</v>
      </c>
      <c r="D314">
        <v>3</v>
      </c>
      <c r="E314" t="s">
        <v>13</v>
      </c>
      <c r="F314">
        <v>129.94</v>
      </c>
      <c r="G314">
        <v>38</v>
      </c>
      <c r="H314" t="s">
        <v>15</v>
      </c>
      <c r="I314" t="s">
        <v>13</v>
      </c>
      <c r="J314" t="s">
        <v>15</v>
      </c>
      <c r="K314">
        <v>129.94</v>
      </c>
      <c r="L314" t="s">
        <v>16</v>
      </c>
      <c r="M314" t="s">
        <v>16</v>
      </c>
      <c r="N314" t="s">
        <v>923</v>
      </c>
      <c r="O314">
        <f>_xlfn.XLOOKUP(customer_satisfaction_cleaned[[#This Row],[Product Category]],Table2[Product Category],Table2[Delivery SLA (Days)],"NA",0)</f>
        <v>5</v>
      </c>
      <c r="P3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5" spans="1:16" x14ac:dyDescent="0.2">
      <c r="A315" t="s">
        <v>17</v>
      </c>
      <c r="B315" t="s">
        <v>12</v>
      </c>
      <c r="C315">
        <v>9</v>
      </c>
      <c r="D315">
        <v>6</v>
      </c>
      <c r="E315" t="s">
        <v>29</v>
      </c>
      <c r="F315">
        <v>99.2</v>
      </c>
      <c r="G315">
        <v>36</v>
      </c>
      <c r="H315" t="s">
        <v>29</v>
      </c>
      <c r="I315" t="s">
        <v>25</v>
      </c>
      <c r="J315" t="s">
        <v>25</v>
      </c>
      <c r="K315">
        <v>99.2</v>
      </c>
      <c r="L315" t="s">
        <v>16</v>
      </c>
      <c r="M315" t="s">
        <v>16</v>
      </c>
      <c r="N315" t="s">
        <v>923</v>
      </c>
      <c r="O315">
        <f>_xlfn.XLOOKUP(customer_satisfaction_cleaned[[#This Row],[Product Category]],Table2[Product Category],Table2[Delivery SLA (Days)],"NA",0)</f>
        <v>5</v>
      </c>
      <c r="P3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16" spans="1:16" x14ac:dyDescent="0.2">
      <c r="A316" t="s">
        <v>332</v>
      </c>
      <c r="B316" t="s">
        <v>12</v>
      </c>
      <c r="C316">
        <v>9</v>
      </c>
      <c r="D316">
        <v>9</v>
      </c>
      <c r="E316" t="s">
        <v>13</v>
      </c>
      <c r="F316">
        <v>61.46</v>
      </c>
      <c r="G316">
        <v>46</v>
      </c>
      <c r="H316" t="s">
        <v>20</v>
      </c>
      <c r="I316" t="s">
        <v>13</v>
      </c>
      <c r="J316" t="s">
        <v>20</v>
      </c>
      <c r="K316">
        <v>61.46</v>
      </c>
      <c r="L316" t="s">
        <v>16</v>
      </c>
      <c r="M316" t="s">
        <v>16</v>
      </c>
      <c r="N316" t="s">
        <v>923</v>
      </c>
      <c r="O316">
        <f>_xlfn.XLOOKUP(customer_satisfaction_cleaned[[#This Row],[Product Category]],Table2[Product Category],Table2[Delivery SLA (Days)],"NA",0)</f>
        <v>5</v>
      </c>
      <c r="P3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17" spans="1:16" x14ac:dyDescent="0.2">
      <c r="A317" t="s">
        <v>333</v>
      </c>
      <c r="B317" t="s">
        <v>23</v>
      </c>
      <c r="C317">
        <v>6</v>
      </c>
      <c r="D317">
        <v>9</v>
      </c>
      <c r="E317" t="s">
        <v>13</v>
      </c>
      <c r="F317">
        <v>70.650000000000006</v>
      </c>
      <c r="G317">
        <v>55</v>
      </c>
      <c r="H317" t="s">
        <v>15</v>
      </c>
      <c r="I317" t="s">
        <v>13</v>
      </c>
      <c r="J317" t="s">
        <v>15</v>
      </c>
      <c r="K317">
        <v>70.650000000000006</v>
      </c>
      <c r="L317" t="s">
        <v>16</v>
      </c>
      <c r="M317" t="s">
        <v>16</v>
      </c>
      <c r="N317" t="s">
        <v>923</v>
      </c>
      <c r="O317">
        <f>_xlfn.XLOOKUP(customer_satisfaction_cleaned[[#This Row],[Product Category]],Table2[Product Category],Table2[Delivery SLA (Days)],"NA",0)</f>
        <v>7</v>
      </c>
      <c r="P3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18" spans="1:16" x14ac:dyDescent="0.2">
      <c r="A318" t="s">
        <v>334</v>
      </c>
      <c r="B318" t="s">
        <v>47</v>
      </c>
      <c r="C318">
        <v>5</v>
      </c>
      <c r="D318">
        <v>7</v>
      </c>
      <c r="E318" t="s">
        <v>21</v>
      </c>
      <c r="F318">
        <v>109.95</v>
      </c>
      <c r="H318" t="s">
        <v>29</v>
      </c>
      <c r="I318" t="s">
        <v>21</v>
      </c>
      <c r="J318" t="s">
        <v>25</v>
      </c>
      <c r="K318">
        <v>109.95</v>
      </c>
      <c r="L318" t="s">
        <v>16</v>
      </c>
      <c r="M318" t="s">
        <v>16</v>
      </c>
      <c r="N318" t="s">
        <v>922</v>
      </c>
      <c r="O318">
        <f>_xlfn.XLOOKUP(customer_satisfaction_cleaned[[#This Row],[Product Category]],Table2[Product Category],Table2[Delivery SLA (Days)],"NA",0)</f>
        <v>7</v>
      </c>
      <c r="P3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9" spans="1:16" x14ac:dyDescent="0.2">
      <c r="A319" t="s">
        <v>335</v>
      </c>
      <c r="B319" t="s">
        <v>36</v>
      </c>
      <c r="C319">
        <v>11</v>
      </c>
      <c r="D319">
        <v>3</v>
      </c>
      <c r="E319" t="s">
        <v>32</v>
      </c>
      <c r="F319">
        <v>60.53</v>
      </c>
      <c r="G319">
        <v>27</v>
      </c>
      <c r="H319" t="s">
        <v>29</v>
      </c>
      <c r="I319" t="s">
        <v>13</v>
      </c>
      <c r="J319" t="s">
        <v>25</v>
      </c>
      <c r="K319">
        <v>60.53</v>
      </c>
      <c r="L319" t="s">
        <v>16</v>
      </c>
      <c r="M319" t="s">
        <v>16</v>
      </c>
      <c r="N319" t="s">
        <v>924</v>
      </c>
      <c r="O319" t="str">
        <f>_xlfn.XLOOKUP(customer_satisfaction_cleaned[[#This Row],[Product Category]],Table2[Product Category],Table2[Delivery SLA (Days)],"NA",0)</f>
        <v>NA</v>
      </c>
      <c r="P3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20" spans="1:16" x14ac:dyDescent="0.2">
      <c r="A320" t="s">
        <v>336</v>
      </c>
      <c r="B320" t="s">
        <v>18</v>
      </c>
      <c r="C320">
        <v>9</v>
      </c>
      <c r="D320">
        <v>3</v>
      </c>
      <c r="E320" t="s">
        <v>21</v>
      </c>
      <c r="F320">
        <v>154.66</v>
      </c>
      <c r="G320">
        <v>23</v>
      </c>
      <c r="H320" t="s">
        <v>15</v>
      </c>
      <c r="I320" t="s">
        <v>21</v>
      </c>
      <c r="J320" t="s">
        <v>15</v>
      </c>
      <c r="K320">
        <v>154.66</v>
      </c>
      <c r="L320" t="s">
        <v>16</v>
      </c>
      <c r="M320" t="s">
        <v>16</v>
      </c>
      <c r="N320" t="s">
        <v>924</v>
      </c>
      <c r="O320">
        <f>_xlfn.XLOOKUP(customer_satisfaction_cleaned[[#This Row],[Product Category]],Table2[Product Category],Table2[Delivery SLA (Days)],"NA",0)</f>
        <v>10</v>
      </c>
      <c r="P3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1" spans="1:16" x14ac:dyDescent="0.2">
      <c r="A321" t="s">
        <v>337</v>
      </c>
      <c r="B321" t="s">
        <v>12</v>
      </c>
      <c r="C321">
        <v>8</v>
      </c>
      <c r="D321">
        <v>1</v>
      </c>
      <c r="E321" t="s">
        <v>29</v>
      </c>
      <c r="F321">
        <v>30.55</v>
      </c>
      <c r="G321">
        <v>39</v>
      </c>
      <c r="H321" t="s">
        <v>20</v>
      </c>
      <c r="I321" t="s">
        <v>25</v>
      </c>
      <c r="J321" t="s">
        <v>20</v>
      </c>
      <c r="K321">
        <v>30.55</v>
      </c>
      <c r="L321" t="s">
        <v>16</v>
      </c>
      <c r="M321" t="s">
        <v>16</v>
      </c>
      <c r="N321" t="s">
        <v>923</v>
      </c>
      <c r="O321">
        <f>_xlfn.XLOOKUP(customer_satisfaction_cleaned[[#This Row],[Product Category]],Table2[Product Category],Table2[Delivery SLA (Days)],"NA",0)</f>
        <v>5</v>
      </c>
      <c r="P3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2" spans="1:16" x14ac:dyDescent="0.2">
      <c r="A322" t="s">
        <v>338</v>
      </c>
      <c r="B322" t="s">
        <v>47</v>
      </c>
      <c r="C322">
        <v>5</v>
      </c>
      <c r="D322">
        <v>8</v>
      </c>
      <c r="E322" t="s">
        <v>19</v>
      </c>
      <c r="F322">
        <v>89.55</v>
      </c>
      <c r="G322">
        <v>73</v>
      </c>
      <c r="H322" t="s">
        <v>44</v>
      </c>
      <c r="I322" t="s">
        <v>21</v>
      </c>
      <c r="J322" t="s">
        <v>20</v>
      </c>
      <c r="K322">
        <v>89.55</v>
      </c>
      <c r="L322" t="s">
        <v>16</v>
      </c>
      <c r="M322" t="s">
        <v>16</v>
      </c>
      <c r="N322" t="s">
        <v>925</v>
      </c>
      <c r="O322">
        <f>_xlfn.XLOOKUP(customer_satisfaction_cleaned[[#This Row],[Product Category]],Table2[Product Category],Table2[Delivery SLA (Days)],"NA",0)</f>
        <v>7</v>
      </c>
      <c r="P3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23" spans="1:16" x14ac:dyDescent="0.2">
      <c r="A323" t="s">
        <v>339</v>
      </c>
      <c r="B323" t="s">
        <v>47</v>
      </c>
      <c r="C323">
        <v>7</v>
      </c>
      <c r="D323">
        <v>7</v>
      </c>
      <c r="E323" t="s">
        <v>32</v>
      </c>
      <c r="F323">
        <v>124.41</v>
      </c>
      <c r="G323">
        <v>24</v>
      </c>
      <c r="H323" t="s">
        <v>44</v>
      </c>
      <c r="I323" t="s">
        <v>13</v>
      </c>
      <c r="J323" t="s">
        <v>20</v>
      </c>
      <c r="K323">
        <v>124.41</v>
      </c>
      <c r="L323" t="s">
        <v>16</v>
      </c>
      <c r="M323" t="s">
        <v>16</v>
      </c>
      <c r="N323" t="s">
        <v>924</v>
      </c>
      <c r="O323">
        <f>_xlfn.XLOOKUP(customer_satisfaction_cleaned[[#This Row],[Product Category]],Table2[Product Category],Table2[Delivery SLA (Days)],"NA",0)</f>
        <v>7</v>
      </c>
      <c r="P3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4" spans="1:16" x14ac:dyDescent="0.2">
      <c r="A324" t="s">
        <v>340</v>
      </c>
      <c r="B324" t="s">
        <v>23</v>
      </c>
      <c r="C324">
        <v>3</v>
      </c>
      <c r="D324">
        <v>8</v>
      </c>
      <c r="E324" t="s">
        <v>21</v>
      </c>
      <c r="F324">
        <v>17521</v>
      </c>
      <c r="G324">
        <v>23</v>
      </c>
      <c r="H324" t="s">
        <v>44</v>
      </c>
      <c r="I324" t="s">
        <v>21</v>
      </c>
      <c r="J324" t="s">
        <v>20</v>
      </c>
      <c r="K324">
        <v>17521</v>
      </c>
      <c r="L324" t="s">
        <v>16</v>
      </c>
      <c r="M324" t="s">
        <v>16</v>
      </c>
      <c r="N324" t="s">
        <v>924</v>
      </c>
      <c r="O324">
        <f>_xlfn.XLOOKUP(customer_satisfaction_cleaned[[#This Row],[Product Category]],Table2[Product Category],Table2[Delivery SLA (Days)],"NA",0)</f>
        <v>7</v>
      </c>
      <c r="P3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25" spans="1:16" x14ac:dyDescent="0.2">
      <c r="A325" t="s">
        <v>17</v>
      </c>
      <c r="B325" t="s">
        <v>18</v>
      </c>
      <c r="C325">
        <v>7</v>
      </c>
      <c r="D325">
        <v>4</v>
      </c>
      <c r="E325" t="s">
        <v>32</v>
      </c>
      <c r="F325">
        <v>77.31</v>
      </c>
      <c r="G325">
        <v>65</v>
      </c>
      <c r="H325" t="s">
        <v>24</v>
      </c>
      <c r="I325" t="s">
        <v>13</v>
      </c>
      <c r="J325" t="s">
        <v>25</v>
      </c>
      <c r="K325">
        <v>77.31</v>
      </c>
      <c r="L325" t="s">
        <v>16</v>
      </c>
      <c r="M325" t="s">
        <v>16</v>
      </c>
      <c r="N325" t="s">
        <v>925</v>
      </c>
      <c r="O325">
        <f>_xlfn.XLOOKUP(customer_satisfaction_cleaned[[#This Row],[Product Category]],Table2[Product Category],Table2[Delivery SLA (Days)],"NA",0)</f>
        <v>10</v>
      </c>
      <c r="P3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6" spans="1:16" x14ac:dyDescent="0.2">
      <c r="A326" t="s">
        <v>341</v>
      </c>
      <c r="B326" t="s">
        <v>18</v>
      </c>
      <c r="C326">
        <v>8</v>
      </c>
      <c r="D326">
        <v>4</v>
      </c>
      <c r="E326" t="s">
        <v>21</v>
      </c>
      <c r="F326">
        <v>170.34</v>
      </c>
      <c r="G326">
        <v>24</v>
      </c>
      <c r="H326" t="s">
        <v>20</v>
      </c>
      <c r="I326" t="s">
        <v>21</v>
      </c>
      <c r="J326" t="s">
        <v>20</v>
      </c>
      <c r="K326">
        <v>170.34</v>
      </c>
      <c r="L326" t="s">
        <v>16</v>
      </c>
      <c r="M326" t="s">
        <v>16</v>
      </c>
      <c r="N326" t="s">
        <v>924</v>
      </c>
      <c r="O326">
        <f>_xlfn.XLOOKUP(customer_satisfaction_cleaned[[#This Row],[Product Category]],Table2[Product Category],Table2[Delivery SLA (Days)],"NA",0)</f>
        <v>10</v>
      </c>
      <c r="P3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7" spans="1:16" x14ac:dyDescent="0.2">
      <c r="A327" t="s">
        <v>342</v>
      </c>
      <c r="B327" t="s">
        <v>47</v>
      </c>
      <c r="C327">
        <v>7</v>
      </c>
      <c r="D327">
        <v>5</v>
      </c>
      <c r="E327" t="s">
        <v>21</v>
      </c>
      <c r="F327">
        <v>146.72</v>
      </c>
      <c r="G327">
        <v>25</v>
      </c>
      <c r="H327" t="s">
        <v>20</v>
      </c>
      <c r="I327" t="s">
        <v>21</v>
      </c>
      <c r="J327" t="s">
        <v>20</v>
      </c>
      <c r="K327">
        <v>146.72</v>
      </c>
      <c r="L327" t="s">
        <v>16</v>
      </c>
      <c r="M327" t="s">
        <v>16</v>
      </c>
      <c r="N327" t="s">
        <v>924</v>
      </c>
      <c r="O327">
        <f>_xlfn.XLOOKUP(customer_satisfaction_cleaned[[#This Row],[Product Category]],Table2[Product Category],Table2[Delivery SLA (Days)],"NA",0)</f>
        <v>7</v>
      </c>
      <c r="P3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8" spans="1:16" x14ac:dyDescent="0.2">
      <c r="A328" t="s">
        <v>343</v>
      </c>
      <c r="B328" t="s">
        <v>18</v>
      </c>
      <c r="C328">
        <v>6</v>
      </c>
      <c r="D328">
        <v>7</v>
      </c>
      <c r="E328" t="s">
        <v>32</v>
      </c>
      <c r="F328">
        <v>100.47</v>
      </c>
      <c r="G328">
        <v>23</v>
      </c>
      <c r="H328" t="s">
        <v>15</v>
      </c>
      <c r="I328" t="s">
        <v>13</v>
      </c>
      <c r="J328" t="s">
        <v>15</v>
      </c>
      <c r="K328">
        <v>100.47</v>
      </c>
      <c r="L328" t="s">
        <v>16</v>
      </c>
      <c r="M328" t="s">
        <v>16</v>
      </c>
      <c r="N328" t="s">
        <v>924</v>
      </c>
      <c r="O328">
        <f>_xlfn.XLOOKUP(customer_satisfaction_cleaned[[#This Row],[Product Category]],Table2[Product Category],Table2[Delivery SLA (Days)],"NA",0)</f>
        <v>10</v>
      </c>
      <c r="P3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9" spans="1:16" x14ac:dyDescent="0.2">
      <c r="A329" t="s">
        <v>344</v>
      </c>
      <c r="B329" t="s">
        <v>18</v>
      </c>
      <c r="C329">
        <v>4</v>
      </c>
      <c r="D329">
        <v>4</v>
      </c>
      <c r="E329" t="s">
        <v>21</v>
      </c>
      <c r="F329">
        <v>114.77</v>
      </c>
      <c r="G329">
        <v>44</v>
      </c>
      <c r="H329" t="s">
        <v>42</v>
      </c>
      <c r="I329" t="s">
        <v>21</v>
      </c>
      <c r="J329" t="s">
        <v>25</v>
      </c>
      <c r="K329">
        <v>114.77</v>
      </c>
      <c r="L329" t="s">
        <v>16</v>
      </c>
      <c r="M329" t="s">
        <v>16</v>
      </c>
      <c r="N329" t="s">
        <v>923</v>
      </c>
      <c r="O329">
        <f>_xlfn.XLOOKUP(customer_satisfaction_cleaned[[#This Row],[Product Category]],Table2[Product Category],Table2[Delivery SLA (Days)],"NA",0)</f>
        <v>10</v>
      </c>
      <c r="P3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0" spans="1:16" x14ac:dyDescent="0.2">
      <c r="A330" t="s">
        <v>345</v>
      </c>
      <c r="B330" t="s">
        <v>18</v>
      </c>
      <c r="C330">
        <v>6</v>
      </c>
      <c r="D330">
        <v>6</v>
      </c>
      <c r="E330" t="s">
        <v>32</v>
      </c>
      <c r="F330">
        <v>130.26</v>
      </c>
      <c r="G330">
        <v>33</v>
      </c>
      <c r="H330" t="s">
        <v>42</v>
      </c>
      <c r="I330" t="s">
        <v>13</v>
      </c>
      <c r="J330" t="s">
        <v>25</v>
      </c>
      <c r="K330">
        <v>130.26</v>
      </c>
      <c r="L330" t="s">
        <v>16</v>
      </c>
      <c r="M330" t="s">
        <v>16</v>
      </c>
      <c r="N330" t="s">
        <v>923</v>
      </c>
      <c r="O330">
        <f>_xlfn.XLOOKUP(customer_satisfaction_cleaned[[#This Row],[Product Category]],Table2[Product Category],Table2[Delivery SLA (Days)],"NA",0)</f>
        <v>10</v>
      </c>
      <c r="P3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1" spans="1:16" x14ac:dyDescent="0.2">
      <c r="A331" t="s">
        <v>346</v>
      </c>
      <c r="B331" t="s">
        <v>18</v>
      </c>
      <c r="C331">
        <v>8</v>
      </c>
      <c r="D331">
        <v>3</v>
      </c>
      <c r="E331" t="s">
        <v>21</v>
      </c>
      <c r="F331">
        <v>107.62</v>
      </c>
      <c r="G331">
        <v>44</v>
      </c>
      <c r="H331" t="s">
        <v>20</v>
      </c>
      <c r="I331" t="s">
        <v>21</v>
      </c>
      <c r="J331" t="s">
        <v>20</v>
      </c>
      <c r="K331">
        <v>107.62</v>
      </c>
      <c r="L331" t="s">
        <v>16</v>
      </c>
      <c r="M331" t="s">
        <v>16</v>
      </c>
      <c r="N331" t="s">
        <v>923</v>
      </c>
      <c r="O331">
        <f>_xlfn.XLOOKUP(customer_satisfaction_cleaned[[#This Row],[Product Category]],Table2[Product Category],Table2[Delivery SLA (Days)],"NA",0)</f>
        <v>10</v>
      </c>
      <c r="P3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2" spans="1:16" x14ac:dyDescent="0.2">
      <c r="A332" t="s">
        <v>347</v>
      </c>
      <c r="B332" t="s">
        <v>36</v>
      </c>
      <c r="C332">
        <v>6</v>
      </c>
      <c r="D332">
        <v>6</v>
      </c>
      <c r="E332" t="s">
        <v>19</v>
      </c>
      <c r="F332">
        <v>56.6</v>
      </c>
      <c r="G332">
        <v>4</v>
      </c>
      <c r="H332" t="s">
        <v>20</v>
      </c>
      <c r="I332" t="s">
        <v>21</v>
      </c>
      <c r="J332" t="s">
        <v>20</v>
      </c>
      <c r="K332">
        <v>56.6</v>
      </c>
      <c r="L332" t="s">
        <v>16</v>
      </c>
      <c r="M332" t="s">
        <v>16</v>
      </c>
      <c r="N332" t="s">
        <v>926</v>
      </c>
      <c r="O332" t="str">
        <f>_xlfn.XLOOKUP(customer_satisfaction_cleaned[[#This Row],[Product Category]],Table2[Product Category],Table2[Delivery SLA (Days)],"NA",0)</f>
        <v>NA</v>
      </c>
      <c r="P3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33" spans="1:16" x14ac:dyDescent="0.2">
      <c r="A333" t="s">
        <v>348</v>
      </c>
      <c r="B333" t="s">
        <v>23</v>
      </c>
      <c r="D333">
        <v>6</v>
      </c>
      <c r="E333" t="s">
        <v>13</v>
      </c>
      <c r="F333">
        <v>126.17</v>
      </c>
      <c r="G333">
        <v>29</v>
      </c>
      <c r="H333" t="s">
        <v>14</v>
      </c>
      <c r="I333" t="s">
        <v>13</v>
      </c>
      <c r="J333" t="s">
        <v>15</v>
      </c>
      <c r="K333">
        <v>126.17</v>
      </c>
      <c r="L333" t="s">
        <v>936</v>
      </c>
      <c r="M333" t="s">
        <v>16</v>
      </c>
      <c r="N333" t="s">
        <v>924</v>
      </c>
      <c r="O333">
        <f>_xlfn.XLOOKUP(customer_satisfaction_cleaned[[#This Row],[Product Category]],Table2[Product Category],Table2[Delivery SLA (Days)],"NA",0)</f>
        <v>7</v>
      </c>
      <c r="P3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4" spans="1:16" x14ac:dyDescent="0.2">
      <c r="A334" t="s">
        <v>349</v>
      </c>
      <c r="B334" t="s">
        <v>18</v>
      </c>
      <c r="C334">
        <v>6</v>
      </c>
      <c r="D334">
        <v>6</v>
      </c>
      <c r="E334" t="s">
        <v>13</v>
      </c>
      <c r="F334">
        <v>26.29</v>
      </c>
      <c r="G334">
        <v>31</v>
      </c>
      <c r="H334" t="s">
        <v>42</v>
      </c>
      <c r="I334" t="s">
        <v>13</v>
      </c>
      <c r="J334" t="s">
        <v>25</v>
      </c>
      <c r="K334">
        <v>26.29</v>
      </c>
      <c r="L334" t="s">
        <v>16</v>
      </c>
      <c r="M334" t="s">
        <v>16</v>
      </c>
      <c r="N334" t="s">
        <v>923</v>
      </c>
      <c r="O334">
        <f>_xlfn.XLOOKUP(customer_satisfaction_cleaned[[#This Row],[Product Category]],Table2[Product Category],Table2[Delivery SLA (Days)],"NA",0)</f>
        <v>10</v>
      </c>
      <c r="P3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5" spans="1:16" x14ac:dyDescent="0.2">
      <c r="A335" t="s">
        <v>350</v>
      </c>
      <c r="B335" t="s">
        <v>23</v>
      </c>
      <c r="D335">
        <v>5</v>
      </c>
      <c r="E335" t="s">
        <v>21</v>
      </c>
      <c r="F335">
        <v>76.739999999999995</v>
      </c>
      <c r="G335">
        <v>49</v>
      </c>
      <c r="H335" t="s">
        <v>14</v>
      </c>
      <c r="I335" t="s">
        <v>21</v>
      </c>
      <c r="J335" t="s">
        <v>15</v>
      </c>
      <c r="K335">
        <v>76.739999999999995</v>
      </c>
      <c r="L335" t="s">
        <v>936</v>
      </c>
      <c r="M335" t="s">
        <v>16</v>
      </c>
      <c r="N335" t="s">
        <v>923</v>
      </c>
      <c r="O335">
        <f>_xlfn.XLOOKUP(customer_satisfaction_cleaned[[#This Row],[Product Category]],Table2[Product Category],Table2[Delivery SLA (Days)],"NA",0)</f>
        <v>7</v>
      </c>
      <c r="P3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6" spans="1:16" x14ac:dyDescent="0.2">
      <c r="A336" t="s">
        <v>351</v>
      </c>
      <c r="B336" t="s">
        <v>36</v>
      </c>
      <c r="C336">
        <v>9</v>
      </c>
      <c r="D336">
        <v>2</v>
      </c>
      <c r="E336" t="s">
        <v>32</v>
      </c>
      <c r="F336">
        <v>146.81</v>
      </c>
      <c r="G336">
        <v>38</v>
      </c>
      <c r="H336" t="s">
        <v>14</v>
      </c>
      <c r="I336" t="s">
        <v>13</v>
      </c>
      <c r="J336" t="s">
        <v>15</v>
      </c>
      <c r="K336">
        <v>146.81</v>
      </c>
      <c r="L336" t="s">
        <v>16</v>
      </c>
      <c r="M336" t="s">
        <v>16</v>
      </c>
      <c r="N336" t="s">
        <v>923</v>
      </c>
      <c r="O336" t="str">
        <f>_xlfn.XLOOKUP(customer_satisfaction_cleaned[[#This Row],[Product Category]],Table2[Product Category],Table2[Delivery SLA (Days)],"NA",0)</f>
        <v>NA</v>
      </c>
      <c r="P3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37" spans="1:16" x14ac:dyDescent="0.2">
      <c r="A337" t="s">
        <v>352</v>
      </c>
      <c r="B337" t="s">
        <v>47</v>
      </c>
      <c r="C337">
        <v>7</v>
      </c>
      <c r="D337">
        <v>5</v>
      </c>
      <c r="E337" t="s">
        <v>13</v>
      </c>
      <c r="F337">
        <v>159.12</v>
      </c>
      <c r="G337">
        <v>50</v>
      </c>
      <c r="H337" t="s">
        <v>44</v>
      </c>
      <c r="I337" t="s">
        <v>13</v>
      </c>
      <c r="J337" t="s">
        <v>20</v>
      </c>
      <c r="K337">
        <v>159.12</v>
      </c>
      <c r="L337" t="s">
        <v>16</v>
      </c>
      <c r="M337" t="s">
        <v>16</v>
      </c>
      <c r="N337" t="s">
        <v>923</v>
      </c>
      <c r="O337">
        <f>_xlfn.XLOOKUP(customer_satisfaction_cleaned[[#This Row],[Product Category]],Table2[Product Category],Table2[Delivery SLA (Days)],"NA",0)</f>
        <v>7</v>
      </c>
      <c r="P3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8" spans="1:16" x14ac:dyDescent="0.2">
      <c r="A338" t="s">
        <v>353</v>
      </c>
      <c r="B338" t="s">
        <v>23</v>
      </c>
      <c r="C338">
        <v>7</v>
      </c>
      <c r="D338">
        <v>6</v>
      </c>
      <c r="E338" t="s">
        <v>21</v>
      </c>
      <c r="F338">
        <v>159.11000000000001</v>
      </c>
      <c r="G338">
        <v>24</v>
      </c>
      <c r="H338" t="s">
        <v>14</v>
      </c>
      <c r="I338" t="s">
        <v>21</v>
      </c>
      <c r="J338" t="s">
        <v>15</v>
      </c>
      <c r="K338">
        <v>159.11000000000001</v>
      </c>
      <c r="L338" t="s">
        <v>16</v>
      </c>
      <c r="M338" t="s">
        <v>16</v>
      </c>
      <c r="N338" t="s">
        <v>924</v>
      </c>
      <c r="O338">
        <f>_xlfn.XLOOKUP(customer_satisfaction_cleaned[[#This Row],[Product Category]],Table2[Product Category],Table2[Delivery SLA (Days)],"NA",0)</f>
        <v>7</v>
      </c>
      <c r="P3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9" spans="1:16" x14ac:dyDescent="0.2">
      <c r="A339" t="s">
        <v>17</v>
      </c>
      <c r="B339" t="s">
        <v>12</v>
      </c>
      <c r="C339">
        <v>6</v>
      </c>
      <c r="D339">
        <v>8</v>
      </c>
      <c r="E339" t="s">
        <v>13</v>
      </c>
      <c r="F339">
        <v>84.16</v>
      </c>
      <c r="G339">
        <v>39</v>
      </c>
      <c r="H339" t="s">
        <v>20</v>
      </c>
      <c r="I339" t="s">
        <v>13</v>
      </c>
      <c r="J339" t="s">
        <v>20</v>
      </c>
      <c r="K339">
        <v>84.16</v>
      </c>
      <c r="L339" t="s">
        <v>16</v>
      </c>
      <c r="M339" t="s">
        <v>16</v>
      </c>
      <c r="N339" t="s">
        <v>923</v>
      </c>
      <c r="O339">
        <f>_xlfn.XLOOKUP(customer_satisfaction_cleaned[[#This Row],[Product Category]],Table2[Product Category],Table2[Delivery SLA (Days)],"NA",0)</f>
        <v>5</v>
      </c>
      <c r="P3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40" spans="1:16" x14ac:dyDescent="0.2">
      <c r="A340" t="s">
        <v>354</v>
      </c>
      <c r="B340" t="s">
        <v>47</v>
      </c>
      <c r="C340">
        <v>7</v>
      </c>
      <c r="D340">
        <v>4</v>
      </c>
      <c r="E340" t="s">
        <v>34</v>
      </c>
      <c r="F340">
        <v>97.76</v>
      </c>
      <c r="G340">
        <v>41</v>
      </c>
      <c r="H340" t="s">
        <v>42</v>
      </c>
      <c r="I340" t="s">
        <v>25</v>
      </c>
      <c r="J340" t="s">
        <v>25</v>
      </c>
      <c r="K340">
        <v>97.76</v>
      </c>
      <c r="L340" t="s">
        <v>16</v>
      </c>
      <c r="M340" t="s">
        <v>16</v>
      </c>
      <c r="N340" t="s">
        <v>923</v>
      </c>
      <c r="O340">
        <f>_xlfn.XLOOKUP(customer_satisfaction_cleaned[[#This Row],[Product Category]],Table2[Product Category],Table2[Delivery SLA (Days)],"NA",0)</f>
        <v>7</v>
      </c>
      <c r="P3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1" spans="1:16" x14ac:dyDescent="0.2">
      <c r="A341" t="s">
        <v>355</v>
      </c>
      <c r="B341" t="s">
        <v>12</v>
      </c>
      <c r="C341">
        <v>5</v>
      </c>
      <c r="D341">
        <v>7</v>
      </c>
      <c r="E341" t="s">
        <v>19</v>
      </c>
      <c r="F341">
        <v>162.57</v>
      </c>
      <c r="G341">
        <v>13</v>
      </c>
      <c r="H341" t="s">
        <v>29</v>
      </c>
      <c r="I341" t="s">
        <v>21</v>
      </c>
      <c r="J341" t="s">
        <v>25</v>
      </c>
      <c r="K341">
        <v>162.57</v>
      </c>
      <c r="L341" t="s">
        <v>16</v>
      </c>
      <c r="M341" t="s">
        <v>16</v>
      </c>
      <c r="N341" t="s">
        <v>926</v>
      </c>
      <c r="O341">
        <f>_xlfn.XLOOKUP(customer_satisfaction_cleaned[[#This Row],[Product Category]],Table2[Product Category],Table2[Delivery SLA (Days)],"NA",0)</f>
        <v>5</v>
      </c>
      <c r="P3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42" spans="1:16" x14ac:dyDescent="0.2">
      <c r="A342" t="s">
        <v>356</v>
      </c>
      <c r="B342" t="s">
        <v>47</v>
      </c>
      <c r="D342">
        <v>7</v>
      </c>
      <c r="E342" t="s">
        <v>21</v>
      </c>
      <c r="F342">
        <v>175.38</v>
      </c>
      <c r="G342">
        <v>34</v>
      </c>
      <c r="H342" t="s">
        <v>14</v>
      </c>
      <c r="I342" t="s">
        <v>21</v>
      </c>
      <c r="J342" t="s">
        <v>15</v>
      </c>
      <c r="K342">
        <v>175.38</v>
      </c>
      <c r="L342" t="s">
        <v>936</v>
      </c>
      <c r="M342" t="s">
        <v>16</v>
      </c>
      <c r="N342" t="s">
        <v>923</v>
      </c>
      <c r="O342">
        <f>_xlfn.XLOOKUP(customer_satisfaction_cleaned[[#This Row],[Product Category]],Table2[Product Category],Table2[Delivery SLA (Days)],"NA",0)</f>
        <v>7</v>
      </c>
      <c r="P3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3" spans="1:16" x14ac:dyDescent="0.2">
      <c r="A343" t="s">
        <v>357</v>
      </c>
      <c r="B343" t="s">
        <v>47</v>
      </c>
      <c r="C343">
        <v>5</v>
      </c>
      <c r="D343">
        <v>5</v>
      </c>
      <c r="E343" t="s">
        <v>13</v>
      </c>
      <c r="F343">
        <v>14.63</v>
      </c>
      <c r="G343">
        <v>17</v>
      </c>
      <c r="H343" t="s">
        <v>20</v>
      </c>
      <c r="I343" t="s">
        <v>13</v>
      </c>
      <c r="J343" t="s">
        <v>20</v>
      </c>
      <c r="K343">
        <v>14.63</v>
      </c>
      <c r="L343" t="s">
        <v>16</v>
      </c>
      <c r="M343" t="s">
        <v>16</v>
      </c>
      <c r="N343" t="s">
        <v>924</v>
      </c>
      <c r="O343">
        <f>_xlfn.XLOOKUP(customer_satisfaction_cleaned[[#This Row],[Product Category]],Table2[Product Category],Table2[Delivery SLA (Days)],"NA",0)</f>
        <v>7</v>
      </c>
      <c r="P3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4" spans="1:16" x14ac:dyDescent="0.2">
      <c r="A344" t="s">
        <v>358</v>
      </c>
      <c r="B344" t="s">
        <v>18</v>
      </c>
      <c r="C344">
        <v>6</v>
      </c>
      <c r="D344">
        <v>8</v>
      </c>
      <c r="E344" t="s">
        <v>19</v>
      </c>
      <c r="F344">
        <v>18.37</v>
      </c>
      <c r="G344">
        <v>18</v>
      </c>
      <c r="H344" t="s">
        <v>42</v>
      </c>
      <c r="I344" t="s">
        <v>21</v>
      </c>
      <c r="J344" t="s">
        <v>25</v>
      </c>
      <c r="K344">
        <v>18.37</v>
      </c>
      <c r="L344" t="s">
        <v>16</v>
      </c>
      <c r="M344" t="s">
        <v>16</v>
      </c>
      <c r="N344" t="s">
        <v>924</v>
      </c>
      <c r="O344">
        <f>_xlfn.XLOOKUP(customer_satisfaction_cleaned[[#This Row],[Product Category]],Table2[Product Category],Table2[Delivery SLA (Days)],"NA",0)</f>
        <v>10</v>
      </c>
      <c r="P3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5" spans="1:16" x14ac:dyDescent="0.2">
      <c r="A345" t="s">
        <v>359</v>
      </c>
      <c r="B345" t="s">
        <v>18</v>
      </c>
      <c r="C345">
        <v>9</v>
      </c>
      <c r="D345">
        <v>4</v>
      </c>
      <c r="E345" t="s">
        <v>21</v>
      </c>
      <c r="F345">
        <v>6940.0000000000009</v>
      </c>
      <c r="G345">
        <v>48</v>
      </c>
      <c r="H345" t="s">
        <v>15</v>
      </c>
      <c r="I345" t="s">
        <v>21</v>
      </c>
      <c r="J345" t="s">
        <v>15</v>
      </c>
      <c r="K345">
        <v>6940.0000000000009</v>
      </c>
      <c r="L345" t="s">
        <v>16</v>
      </c>
      <c r="M345" t="s">
        <v>16</v>
      </c>
      <c r="N345" t="s">
        <v>923</v>
      </c>
      <c r="O345">
        <f>_xlfn.XLOOKUP(customer_satisfaction_cleaned[[#This Row],[Product Category]],Table2[Product Category],Table2[Delivery SLA (Days)],"NA",0)</f>
        <v>10</v>
      </c>
      <c r="P3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6" spans="1:16" x14ac:dyDescent="0.2">
      <c r="A346" t="s">
        <v>360</v>
      </c>
      <c r="B346" t="s">
        <v>18</v>
      </c>
      <c r="C346">
        <v>12</v>
      </c>
      <c r="D346">
        <v>5</v>
      </c>
      <c r="E346" t="s">
        <v>21</v>
      </c>
      <c r="F346">
        <v>153.44999999999999</v>
      </c>
      <c r="G346">
        <v>33</v>
      </c>
      <c r="H346" t="s">
        <v>44</v>
      </c>
      <c r="I346" t="s">
        <v>21</v>
      </c>
      <c r="J346" t="s">
        <v>20</v>
      </c>
      <c r="K346">
        <v>153.44999999999999</v>
      </c>
      <c r="L346" t="s">
        <v>16</v>
      </c>
      <c r="M346" t="s">
        <v>16</v>
      </c>
      <c r="N346" t="s">
        <v>923</v>
      </c>
      <c r="O346">
        <f>_xlfn.XLOOKUP(customer_satisfaction_cleaned[[#This Row],[Product Category]],Table2[Product Category],Table2[Delivery SLA (Days)],"NA",0)</f>
        <v>10</v>
      </c>
      <c r="P3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7" spans="1:16" x14ac:dyDescent="0.2">
      <c r="A347" t="s">
        <v>361</v>
      </c>
      <c r="B347" t="s">
        <v>23</v>
      </c>
      <c r="C347">
        <v>9</v>
      </c>
      <c r="D347">
        <v>6</v>
      </c>
      <c r="E347" t="s">
        <v>21</v>
      </c>
      <c r="F347">
        <v>103.5</v>
      </c>
      <c r="G347">
        <v>25</v>
      </c>
      <c r="H347" t="s">
        <v>15</v>
      </c>
      <c r="I347" t="s">
        <v>21</v>
      </c>
      <c r="J347" t="s">
        <v>15</v>
      </c>
      <c r="K347">
        <v>103.5</v>
      </c>
      <c r="L347" t="s">
        <v>16</v>
      </c>
      <c r="M347" t="s">
        <v>16</v>
      </c>
      <c r="N347" t="s">
        <v>924</v>
      </c>
      <c r="O347">
        <f>_xlfn.XLOOKUP(customer_satisfaction_cleaned[[#This Row],[Product Category]],Table2[Product Category],Table2[Delivery SLA (Days)],"NA",0)</f>
        <v>7</v>
      </c>
      <c r="P3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8" spans="1:16" x14ac:dyDescent="0.2">
      <c r="A348" t="s">
        <v>362</v>
      </c>
      <c r="B348" t="s">
        <v>12</v>
      </c>
      <c r="C348">
        <v>7</v>
      </c>
      <c r="D348">
        <v>3</v>
      </c>
      <c r="E348" t="s">
        <v>29</v>
      </c>
      <c r="F348">
        <v>115.98</v>
      </c>
      <c r="G348">
        <v>4</v>
      </c>
      <c r="H348" t="s">
        <v>14</v>
      </c>
      <c r="I348" t="s">
        <v>25</v>
      </c>
      <c r="J348" t="s">
        <v>15</v>
      </c>
      <c r="K348">
        <v>115.98</v>
      </c>
      <c r="L348" t="s">
        <v>16</v>
      </c>
      <c r="M348" t="s">
        <v>16</v>
      </c>
      <c r="N348" t="s">
        <v>926</v>
      </c>
      <c r="O348">
        <f>_xlfn.XLOOKUP(customer_satisfaction_cleaned[[#This Row],[Product Category]],Table2[Product Category],Table2[Delivery SLA (Days)],"NA",0)</f>
        <v>5</v>
      </c>
      <c r="P3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9" spans="1:16" x14ac:dyDescent="0.2">
      <c r="A349" t="s">
        <v>363</v>
      </c>
      <c r="B349" t="s">
        <v>47</v>
      </c>
      <c r="C349">
        <v>8</v>
      </c>
      <c r="D349">
        <v>4</v>
      </c>
      <c r="E349" t="s">
        <v>13</v>
      </c>
      <c r="F349">
        <v>14800</v>
      </c>
      <c r="G349">
        <v>23</v>
      </c>
      <c r="H349" t="s">
        <v>42</v>
      </c>
      <c r="I349" t="s">
        <v>13</v>
      </c>
      <c r="J349" t="s">
        <v>25</v>
      </c>
      <c r="K349">
        <v>14800</v>
      </c>
      <c r="L349" t="s">
        <v>16</v>
      </c>
      <c r="M349" t="s">
        <v>16</v>
      </c>
      <c r="N349" t="s">
        <v>924</v>
      </c>
      <c r="O349">
        <f>_xlfn.XLOOKUP(customer_satisfaction_cleaned[[#This Row],[Product Category]],Table2[Product Category],Table2[Delivery SLA (Days)],"NA",0)</f>
        <v>7</v>
      </c>
      <c r="P3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0" spans="1:16" x14ac:dyDescent="0.2">
      <c r="A350" t="s">
        <v>364</v>
      </c>
      <c r="B350" t="s">
        <v>47</v>
      </c>
      <c r="C350">
        <v>4</v>
      </c>
      <c r="D350">
        <v>3</v>
      </c>
      <c r="E350" t="s">
        <v>21</v>
      </c>
      <c r="F350">
        <v>152.72</v>
      </c>
      <c r="H350" t="s">
        <v>20</v>
      </c>
      <c r="I350" t="s">
        <v>21</v>
      </c>
      <c r="J350" t="s">
        <v>20</v>
      </c>
      <c r="K350">
        <v>152.72</v>
      </c>
      <c r="L350" t="s">
        <v>16</v>
      </c>
      <c r="M350" t="s">
        <v>16</v>
      </c>
      <c r="N350" t="s">
        <v>922</v>
      </c>
      <c r="O350">
        <f>_xlfn.XLOOKUP(customer_satisfaction_cleaned[[#This Row],[Product Category]],Table2[Product Category],Table2[Delivery SLA (Days)],"NA",0)</f>
        <v>7</v>
      </c>
      <c r="P3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1" spans="1:16" x14ac:dyDescent="0.2">
      <c r="A351" t="s">
        <v>365</v>
      </c>
      <c r="B351" t="s">
        <v>12</v>
      </c>
      <c r="C351">
        <v>9</v>
      </c>
      <c r="D351">
        <v>5</v>
      </c>
      <c r="E351" t="s">
        <v>32</v>
      </c>
      <c r="F351">
        <v>43.28</v>
      </c>
      <c r="G351">
        <v>31</v>
      </c>
      <c r="H351" t="s">
        <v>15</v>
      </c>
      <c r="I351" t="s">
        <v>13</v>
      </c>
      <c r="J351" t="s">
        <v>15</v>
      </c>
      <c r="K351">
        <v>43.28</v>
      </c>
      <c r="L351" t="s">
        <v>16</v>
      </c>
      <c r="M351" t="s">
        <v>16</v>
      </c>
      <c r="N351" t="s">
        <v>923</v>
      </c>
      <c r="O351">
        <f>_xlfn.XLOOKUP(customer_satisfaction_cleaned[[#This Row],[Product Category]],Table2[Product Category],Table2[Delivery SLA (Days)],"NA",0)</f>
        <v>5</v>
      </c>
      <c r="P3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2" spans="1:16" x14ac:dyDescent="0.2">
      <c r="A352" t="s">
        <v>17</v>
      </c>
      <c r="B352" t="s">
        <v>12</v>
      </c>
      <c r="C352">
        <v>8</v>
      </c>
      <c r="E352" t="s">
        <v>29</v>
      </c>
      <c r="F352">
        <v>81.8</v>
      </c>
      <c r="G352">
        <v>26</v>
      </c>
      <c r="H352" t="s">
        <v>15</v>
      </c>
      <c r="I352" t="s">
        <v>25</v>
      </c>
      <c r="J352" t="s">
        <v>15</v>
      </c>
      <c r="K352">
        <v>81.8</v>
      </c>
      <c r="L352" t="s">
        <v>16</v>
      </c>
      <c r="M352" t="s">
        <v>937</v>
      </c>
      <c r="N352" t="s">
        <v>924</v>
      </c>
      <c r="O352">
        <f>_xlfn.XLOOKUP(customer_satisfaction_cleaned[[#This Row],[Product Category]],Table2[Product Category],Table2[Delivery SLA (Days)],"NA",0)</f>
        <v>5</v>
      </c>
      <c r="P3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53" spans="1:16" x14ac:dyDescent="0.2">
      <c r="A353" t="s">
        <v>366</v>
      </c>
      <c r="B353" t="s">
        <v>47</v>
      </c>
      <c r="C353">
        <v>3</v>
      </c>
      <c r="D353">
        <v>2</v>
      </c>
      <c r="E353" t="s">
        <v>21</v>
      </c>
      <c r="F353">
        <v>113.33</v>
      </c>
      <c r="G353">
        <v>39</v>
      </c>
      <c r="H353" t="s">
        <v>29</v>
      </c>
      <c r="I353" t="s">
        <v>21</v>
      </c>
      <c r="J353" t="s">
        <v>25</v>
      </c>
      <c r="K353">
        <v>113.33</v>
      </c>
      <c r="L353" t="s">
        <v>16</v>
      </c>
      <c r="M353" t="s">
        <v>16</v>
      </c>
      <c r="N353" t="s">
        <v>923</v>
      </c>
      <c r="O353">
        <f>_xlfn.XLOOKUP(customer_satisfaction_cleaned[[#This Row],[Product Category]],Table2[Product Category],Table2[Delivery SLA (Days)],"NA",0)</f>
        <v>7</v>
      </c>
      <c r="P3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4" spans="1:16" x14ac:dyDescent="0.2">
      <c r="A354" t="s">
        <v>367</v>
      </c>
      <c r="B354" t="s">
        <v>47</v>
      </c>
      <c r="C354">
        <v>8</v>
      </c>
      <c r="D354">
        <v>5</v>
      </c>
      <c r="E354" t="s">
        <v>21</v>
      </c>
      <c r="F354">
        <v>54.2</v>
      </c>
      <c r="G354">
        <v>16</v>
      </c>
      <c r="H354" t="s">
        <v>42</v>
      </c>
      <c r="I354" t="s">
        <v>21</v>
      </c>
      <c r="J354" t="s">
        <v>25</v>
      </c>
      <c r="K354">
        <v>54.2</v>
      </c>
      <c r="L354" t="s">
        <v>16</v>
      </c>
      <c r="M354" t="s">
        <v>16</v>
      </c>
      <c r="N354" t="s">
        <v>924</v>
      </c>
      <c r="O354">
        <f>_xlfn.XLOOKUP(customer_satisfaction_cleaned[[#This Row],[Product Category]],Table2[Product Category],Table2[Delivery SLA (Days)],"NA",0)</f>
        <v>7</v>
      </c>
      <c r="P3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5" spans="1:16" x14ac:dyDescent="0.2">
      <c r="A355" t="s">
        <v>368</v>
      </c>
      <c r="B355" t="s">
        <v>18</v>
      </c>
      <c r="C355">
        <v>6</v>
      </c>
      <c r="D355">
        <v>7</v>
      </c>
      <c r="E355" t="s">
        <v>32</v>
      </c>
      <c r="F355">
        <v>34.93</v>
      </c>
      <c r="G355">
        <v>26</v>
      </c>
      <c r="H355" t="s">
        <v>24</v>
      </c>
      <c r="I355" t="s">
        <v>13</v>
      </c>
      <c r="J355" t="s">
        <v>25</v>
      </c>
      <c r="K355">
        <v>34.93</v>
      </c>
      <c r="L355" t="s">
        <v>16</v>
      </c>
      <c r="M355" t="s">
        <v>16</v>
      </c>
      <c r="N355" t="s">
        <v>924</v>
      </c>
      <c r="O355">
        <f>_xlfn.XLOOKUP(customer_satisfaction_cleaned[[#This Row],[Product Category]],Table2[Product Category],Table2[Delivery SLA (Days)],"NA",0)</f>
        <v>10</v>
      </c>
      <c r="P3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6" spans="1:16" x14ac:dyDescent="0.2">
      <c r="A356" t="s">
        <v>369</v>
      </c>
      <c r="B356" t="s">
        <v>12</v>
      </c>
      <c r="C356">
        <v>6</v>
      </c>
      <c r="D356">
        <v>-1</v>
      </c>
      <c r="E356" t="s">
        <v>13</v>
      </c>
      <c r="F356">
        <v>85.39</v>
      </c>
      <c r="G356">
        <v>27</v>
      </c>
      <c r="H356" t="s">
        <v>20</v>
      </c>
      <c r="I356" t="s">
        <v>13</v>
      </c>
      <c r="J356" t="s">
        <v>20</v>
      </c>
      <c r="K356">
        <v>85.39</v>
      </c>
      <c r="L356" t="s">
        <v>16</v>
      </c>
      <c r="M356" t="s">
        <v>133</v>
      </c>
      <c r="N356" t="s">
        <v>924</v>
      </c>
      <c r="O356">
        <f>_xlfn.XLOOKUP(customer_satisfaction_cleaned[[#This Row],[Product Category]],Table2[Product Category],Table2[Delivery SLA (Days)],"NA",0)</f>
        <v>5</v>
      </c>
      <c r="P3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7" spans="1:16" x14ac:dyDescent="0.2">
      <c r="A357" t="s">
        <v>370</v>
      </c>
      <c r="B357" t="s">
        <v>47</v>
      </c>
      <c r="C357">
        <v>8</v>
      </c>
      <c r="D357">
        <v>6</v>
      </c>
      <c r="E357" t="s">
        <v>29</v>
      </c>
      <c r="F357">
        <v>144.83000000000001</v>
      </c>
      <c r="G357">
        <v>36</v>
      </c>
      <c r="H357" t="s">
        <v>20</v>
      </c>
      <c r="I357" t="s">
        <v>25</v>
      </c>
      <c r="J357" t="s">
        <v>20</v>
      </c>
      <c r="K357">
        <v>144.83000000000001</v>
      </c>
      <c r="L357" t="s">
        <v>16</v>
      </c>
      <c r="M357" t="s">
        <v>16</v>
      </c>
      <c r="N357" t="s">
        <v>923</v>
      </c>
      <c r="O357">
        <f>_xlfn.XLOOKUP(customer_satisfaction_cleaned[[#This Row],[Product Category]],Table2[Product Category],Table2[Delivery SLA (Days)],"NA",0)</f>
        <v>7</v>
      </c>
      <c r="P3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8" spans="1:16" x14ac:dyDescent="0.2">
      <c r="A358" t="s">
        <v>371</v>
      </c>
      <c r="B358" t="s">
        <v>12</v>
      </c>
      <c r="C358">
        <v>8</v>
      </c>
      <c r="D358">
        <v>3</v>
      </c>
      <c r="E358" t="s">
        <v>21</v>
      </c>
      <c r="F358">
        <v>129.11000000000001</v>
      </c>
      <c r="G358">
        <v>23</v>
      </c>
      <c r="H358" t="s">
        <v>24</v>
      </c>
      <c r="I358" t="s">
        <v>21</v>
      </c>
      <c r="J358" t="s">
        <v>25</v>
      </c>
      <c r="K358">
        <v>129.11000000000001</v>
      </c>
      <c r="L358" t="s">
        <v>16</v>
      </c>
      <c r="M358" t="s">
        <v>16</v>
      </c>
      <c r="N358" t="s">
        <v>924</v>
      </c>
      <c r="O358">
        <f>_xlfn.XLOOKUP(customer_satisfaction_cleaned[[#This Row],[Product Category]],Table2[Product Category],Table2[Delivery SLA (Days)],"NA",0)</f>
        <v>5</v>
      </c>
      <c r="P3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9" spans="1:16" x14ac:dyDescent="0.2">
      <c r="A359" t="s">
        <v>372</v>
      </c>
      <c r="B359" t="s">
        <v>12</v>
      </c>
      <c r="C359">
        <v>8</v>
      </c>
      <c r="D359">
        <v>3</v>
      </c>
      <c r="E359" t="s">
        <v>21</v>
      </c>
      <c r="F359">
        <v>159.97999999999999</v>
      </c>
      <c r="G359">
        <v>58</v>
      </c>
      <c r="H359" t="s">
        <v>24</v>
      </c>
      <c r="I359" t="s">
        <v>21</v>
      </c>
      <c r="J359" t="s">
        <v>25</v>
      </c>
      <c r="K359">
        <v>159.97999999999999</v>
      </c>
      <c r="L359" t="s">
        <v>16</v>
      </c>
      <c r="M359" t="s">
        <v>16</v>
      </c>
      <c r="N359" t="s">
        <v>923</v>
      </c>
      <c r="O359">
        <f>_xlfn.XLOOKUP(customer_satisfaction_cleaned[[#This Row],[Product Category]],Table2[Product Category],Table2[Delivery SLA (Days)],"NA",0)</f>
        <v>5</v>
      </c>
      <c r="P3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0" spans="1:16" x14ac:dyDescent="0.2">
      <c r="A360" t="s">
        <v>373</v>
      </c>
      <c r="B360" t="s">
        <v>12</v>
      </c>
      <c r="C360">
        <v>6</v>
      </c>
      <c r="E360" t="s">
        <v>13</v>
      </c>
      <c r="F360">
        <v>125.27</v>
      </c>
      <c r="G360">
        <v>25</v>
      </c>
      <c r="H360" t="s">
        <v>15</v>
      </c>
      <c r="I360" t="s">
        <v>13</v>
      </c>
      <c r="J360" t="s">
        <v>15</v>
      </c>
      <c r="K360">
        <v>125.27</v>
      </c>
      <c r="L360" t="s">
        <v>16</v>
      </c>
      <c r="M360" t="s">
        <v>937</v>
      </c>
      <c r="N360" t="s">
        <v>924</v>
      </c>
      <c r="O360">
        <f>_xlfn.XLOOKUP(customer_satisfaction_cleaned[[#This Row],[Product Category]],Table2[Product Category],Table2[Delivery SLA (Days)],"NA",0)</f>
        <v>5</v>
      </c>
      <c r="P3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61" spans="1:16" x14ac:dyDescent="0.2">
      <c r="A361" t="s">
        <v>374</v>
      </c>
      <c r="B361" t="s">
        <v>12</v>
      </c>
      <c r="C361">
        <v>8</v>
      </c>
      <c r="D361">
        <v>8</v>
      </c>
      <c r="E361" t="s">
        <v>21</v>
      </c>
      <c r="F361">
        <v>104.25</v>
      </c>
      <c r="G361">
        <v>57</v>
      </c>
      <c r="H361" t="s">
        <v>34</v>
      </c>
      <c r="I361" t="s">
        <v>21</v>
      </c>
      <c r="J361" t="s">
        <v>25</v>
      </c>
      <c r="K361">
        <v>104.25</v>
      </c>
      <c r="L361" t="s">
        <v>16</v>
      </c>
      <c r="M361" t="s">
        <v>16</v>
      </c>
      <c r="N361" t="s">
        <v>923</v>
      </c>
      <c r="O361">
        <f>_xlfn.XLOOKUP(customer_satisfaction_cleaned[[#This Row],[Product Category]],Table2[Product Category],Table2[Delivery SLA (Days)],"NA",0)</f>
        <v>5</v>
      </c>
      <c r="P3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62" spans="1:16" x14ac:dyDescent="0.2">
      <c r="A362" t="s">
        <v>375</v>
      </c>
      <c r="B362" t="s">
        <v>18</v>
      </c>
      <c r="C362">
        <v>6</v>
      </c>
      <c r="D362">
        <v>5</v>
      </c>
      <c r="E362" t="s">
        <v>21</v>
      </c>
      <c r="F362">
        <v>150.66999999999999</v>
      </c>
      <c r="G362">
        <v>63</v>
      </c>
      <c r="H362" t="s">
        <v>14</v>
      </c>
      <c r="I362" t="s">
        <v>21</v>
      </c>
      <c r="J362" t="s">
        <v>15</v>
      </c>
      <c r="K362">
        <v>150.66999999999999</v>
      </c>
      <c r="L362" t="s">
        <v>16</v>
      </c>
      <c r="M362" t="s">
        <v>16</v>
      </c>
      <c r="N362" t="s">
        <v>925</v>
      </c>
      <c r="O362">
        <f>_xlfn.XLOOKUP(customer_satisfaction_cleaned[[#This Row],[Product Category]],Table2[Product Category],Table2[Delivery SLA (Days)],"NA",0)</f>
        <v>10</v>
      </c>
      <c r="P3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3" spans="1:16" x14ac:dyDescent="0.2">
      <c r="A363" t="s">
        <v>376</v>
      </c>
      <c r="B363" t="s">
        <v>23</v>
      </c>
      <c r="C363">
        <v>7</v>
      </c>
      <c r="D363">
        <v>6</v>
      </c>
      <c r="E363" t="s">
        <v>21</v>
      </c>
      <c r="F363">
        <v>165.03</v>
      </c>
      <c r="G363">
        <v>31</v>
      </c>
      <c r="H363" t="s">
        <v>20</v>
      </c>
      <c r="I363" t="s">
        <v>21</v>
      </c>
      <c r="J363" t="s">
        <v>20</v>
      </c>
      <c r="K363">
        <v>165.03</v>
      </c>
      <c r="L363" t="s">
        <v>16</v>
      </c>
      <c r="M363" t="s">
        <v>16</v>
      </c>
      <c r="N363" t="s">
        <v>923</v>
      </c>
      <c r="O363">
        <f>_xlfn.XLOOKUP(customer_satisfaction_cleaned[[#This Row],[Product Category]],Table2[Product Category],Table2[Delivery SLA (Days)],"NA",0)</f>
        <v>7</v>
      </c>
      <c r="P3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4" spans="1:16" x14ac:dyDescent="0.2">
      <c r="A364" t="s">
        <v>377</v>
      </c>
      <c r="B364" t="s">
        <v>47</v>
      </c>
      <c r="C364">
        <v>7</v>
      </c>
      <c r="D364">
        <v>5</v>
      </c>
      <c r="E364" t="s">
        <v>21</v>
      </c>
      <c r="F364">
        <v>195.47</v>
      </c>
      <c r="G364">
        <v>36</v>
      </c>
      <c r="H364" t="s">
        <v>29</v>
      </c>
      <c r="I364" t="s">
        <v>21</v>
      </c>
      <c r="J364" t="s">
        <v>25</v>
      </c>
      <c r="K364">
        <v>195.47</v>
      </c>
      <c r="L364" t="s">
        <v>16</v>
      </c>
      <c r="M364" t="s">
        <v>16</v>
      </c>
      <c r="N364" t="s">
        <v>923</v>
      </c>
      <c r="O364">
        <f>_xlfn.XLOOKUP(customer_satisfaction_cleaned[[#This Row],[Product Category]],Table2[Product Category],Table2[Delivery SLA (Days)],"NA",0)</f>
        <v>7</v>
      </c>
      <c r="P3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5" spans="1:16" x14ac:dyDescent="0.2">
      <c r="A365" t="s">
        <v>378</v>
      </c>
      <c r="B365" t="s">
        <v>23</v>
      </c>
      <c r="C365">
        <v>9</v>
      </c>
      <c r="D365">
        <v>6</v>
      </c>
      <c r="E365" t="s">
        <v>29</v>
      </c>
      <c r="F365">
        <v>115.96</v>
      </c>
      <c r="G365">
        <v>36</v>
      </c>
      <c r="H365" t="s">
        <v>29</v>
      </c>
      <c r="I365" t="s">
        <v>25</v>
      </c>
      <c r="J365" t="s">
        <v>25</v>
      </c>
      <c r="K365">
        <v>115.96</v>
      </c>
      <c r="L365" t="s">
        <v>16</v>
      </c>
      <c r="M365" t="s">
        <v>16</v>
      </c>
      <c r="N365" t="s">
        <v>923</v>
      </c>
      <c r="O365">
        <f>_xlfn.XLOOKUP(customer_satisfaction_cleaned[[#This Row],[Product Category]],Table2[Product Category],Table2[Delivery SLA (Days)],"NA",0)</f>
        <v>7</v>
      </c>
      <c r="P3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6" spans="1:16" x14ac:dyDescent="0.2">
      <c r="A366" t="s">
        <v>379</v>
      </c>
      <c r="B366" t="s">
        <v>23</v>
      </c>
      <c r="C366">
        <v>9</v>
      </c>
      <c r="D366">
        <v>5</v>
      </c>
      <c r="E366" t="s">
        <v>34</v>
      </c>
      <c r="F366">
        <v>26.86</v>
      </c>
      <c r="G366">
        <v>33</v>
      </c>
      <c r="H366" t="s">
        <v>24</v>
      </c>
      <c r="I366" t="s">
        <v>25</v>
      </c>
      <c r="J366" t="s">
        <v>25</v>
      </c>
      <c r="K366">
        <v>26.86</v>
      </c>
      <c r="L366" t="s">
        <v>16</v>
      </c>
      <c r="M366" t="s">
        <v>16</v>
      </c>
      <c r="N366" t="s">
        <v>923</v>
      </c>
      <c r="O366">
        <f>_xlfn.XLOOKUP(customer_satisfaction_cleaned[[#This Row],[Product Category]],Table2[Product Category],Table2[Delivery SLA (Days)],"NA",0)</f>
        <v>7</v>
      </c>
      <c r="P3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7" spans="1:16" x14ac:dyDescent="0.2">
      <c r="A367" t="s">
        <v>380</v>
      </c>
      <c r="B367" t="s">
        <v>18</v>
      </c>
      <c r="C367">
        <v>3</v>
      </c>
      <c r="D367">
        <v>5</v>
      </c>
      <c r="E367" t="s">
        <v>21</v>
      </c>
      <c r="F367">
        <v>145.08000000000001</v>
      </c>
      <c r="G367">
        <v>9</v>
      </c>
      <c r="H367" t="s">
        <v>34</v>
      </c>
      <c r="I367" t="s">
        <v>21</v>
      </c>
      <c r="J367" t="s">
        <v>25</v>
      </c>
      <c r="K367">
        <v>145.08000000000001</v>
      </c>
      <c r="L367" t="s">
        <v>16</v>
      </c>
      <c r="M367" t="s">
        <v>16</v>
      </c>
      <c r="N367" t="s">
        <v>926</v>
      </c>
      <c r="O367">
        <f>_xlfn.XLOOKUP(customer_satisfaction_cleaned[[#This Row],[Product Category]],Table2[Product Category],Table2[Delivery SLA (Days)],"NA",0)</f>
        <v>10</v>
      </c>
      <c r="P3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8" spans="1:16" x14ac:dyDescent="0.2">
      <c r="A368" t="s">
        <v>381</v>
      </c>
      <c r="B368" t="s">
        <v>23</v>
      </c>
      <c r="C368">
        <v>5</v>
      </c>
      <c r="D368">
        <v>4</v>
      </c>
      <c r="E368" t="s">
        <v>19</v>
      </c>
      <c r="F368">
        <v>96.7</v>
      </c>
      <c r="G368">
        <v>24</v>
      </c>
      <c r="H368" t="s">
        <v>20</v>
      </c>
      <c r="I368" t="s">
        <v>21</v>
      </c>
      <c r="J368" t="s">
        <v>20</v>
      </c>
      <c r="K368">
        <v>96.7</v>
      </c>
      <c r="L368" t="s">
        <v>16</v>
      </c>
      <c r="M368" t="s">
        <v>16</v>
      </c>
      <c r="N368" t="s">
        <v>924</v>
      </c>
      <c r="O368">
        <f>_xlfn.XLOOKUP(customer_satisfaction_cleaned[[#This Row],[Product Category]],Table2[Product Category],Table2[Delivery SLA (Days)],"NA",0)</f>
        <v>7</v>
      </c>
      <c r="P3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9" spans="1:16" x14ac:dyDescent="0.2">
      <c r="A369" t="s">
        <v>382</v>
      </c>
      <c r="B369" t="s">
        <v>23</v>
      </c>
      <c r="C369">
        <v>8</v>
      </c>
      <c r="D369">
        <v>3</v>
      </c>
      <c r="E369" t="s">
        <v>32</v>
      </c>
      <c r="F369">
        <v>25.52</v>
      </c>
      <c r="G369">
        <v>37</v>
      </c>
      <c r="H369" t="s">
        <v>34</v>
      </c>
      <c r="I369" t="s">
        <v>13</v>
      </c>
      <c r="J369" t="s">
        <v>25</v>
      </c>
      <c r="K369">
        <v>25.52</v>
      </c>
      <c r="L369" t="s">
        <v>16</v>
      </c>
      <c r="M369" t="s">
        <v>16</v>
      </c>
      <c r="N369" t="s">
        <v>923</v>
      </c>
      <c r="O369">
        <f>_xlfn.XLOOKUP(customer_satisfaction_cleaned[[#This Row],[Product Category]],Table2[Product Category],Table2[Delivery SLA (Days)],"NA",0)</f>
        <v>7</v>
      </c>
      <c r="P3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0" spans="1:16" x14ac:dyDescent="0.2">
      <c r="A370" t="s">
        <v>383</v>
      </c>
      <c r="B370" t="s">
        <v>18</v>
      </c>
      <c r="C370">
        <v>5</v>
      </c>
      <c r="E370" t="s">
        <v>19</v>
      </c>
      <c r="F370">
        <v>160.63</v>
      </c>
      <c r="G370">
        <v>24</v>
      </c>
      <c r="H370" t="s">
        <v>15</v>
      </c>
      <c r="I370" t="s">
        <v>21</v>
      </c>
      <c r="J370" t="s">
        <v>15</v>
      </c>
      <c r="K370">
        <v>160.63</v>
      </c>
      <c r="L370" t="s">
        <v>16</v>
      </c>
      <c r="M370" t="s">
        <v>937</v>
      </c>
      <c r="N370" t="s">
        <v>924</v>
      </c>
      <c r="O370">
        <f>_xlfn.XLOOKUP(customer_satisfaction_cleaned[[#This Row],[Product Category]],Table2[Product Category],Table2[Delivery SLA (Days)],"NA",0)</f>
        <v>10</v>
      </c>
      <c r="P3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71" spans="1:16" x14ac:dyDescent="0.2">
      <c r="A371" t="s">
        <v>384</v>
      </c>
      <c r="B371" t="s">
        <v>12</v>
      </c>
      <c r="C371">
        <v>7</v>
      </c>
      <c r="D371">
        <v>7</v>
      </c>
      <c r="E371" t="s">
        <v>13</v>
      </c>
      <c r="F371">
        <v>18.93</v>
      </c>
      <c r="G371">
        <v>58</v>
      </c>
      <c r="H371" t="s">
        <v>24</v>
      </c>
      <c r="I371" t="s">
        <v>13</v>
      </c>
      <c r="J371" t="s">
        <v>25</v>
      </c>
      <c r="K371">
        <v>18.93</v>
      </c>
      <c r="L371" t="s">
        <v>16</v>
      </c>
      <c r="M371" t="s">
        <v>16</v>
      </c>
      <c r="N371" t="s">
        <v>923</v>
      </c>
      <c r="O371">
        <f>_xlfn.XLOOKUP(customer_satisfaction_cleaned[[#This Row],[Product Category]],Table2[Product Category],Table2[Delivery SLA (Days)],"NA",0)</f>
        <v>5</v>
      </c>
      <c r="P3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72" spans="1:16" x14ac:dyDescent="0.2">
      <c r="A372" t="s">
        <v>385</v>
      </c>
      <c r="B372" t="s">
        <v>36</v>
      </c>
      <c r="C372">
        <v>5</v>
      </c>
      <c r="D372">
        <v>9</v>
      </c>
      <c r="E372" t="s">
        <v>32</v>
      </c>
      <c r="F372">
        <v>22.34</v>
      </c>
      <c r="G372">
        <v>27</v>
      </c>
      <c r="H372" t="s">
        <v>20</v>
      </c>
      <c r="I372" t="s">
        <v>13</v>
      </c>
      <c r="J372" t="s">
        <v>20</v>
      </c>
      <c r="K372">
        <v>22.34</v>
      </c>
      <c r="L372" t="s">
        <v>16</v>
      </c>
      <c r="M372" t="s">
        <v>16</v>
      </c>
      <c r="N372" t="s">
        <v>924</v>
      </c>
      <c r="O372" t="str">
        <f>_xlfn.XLOOKUP(customer_satisfaction_cleaned[[#This Row],[Product Category]],Table2[Product Category],Table2[Delivery SLA (Days)],"NA",0)</f>
        <v>NA</v>
      </c>
      <c r="P3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73" spans="1:16" x14ac:dyDescent="0.2">
      <c r="A373" t="s">
        <v>386</v>
      </c>
      <c r="B373" t="s">
        <v>18</v>
      </c>
      <c r="C373">
        <v>7</v>
      </c>
      <c r="E373" t="s">
        <v>29</v>
      </c>
      <c r="F373">
        <v>88.95</v>
      </c>
      <c r="G373">
        <v>16</v>
      </c>
      <c r="H373" t="s">
        <v>14</v>
      </c>
      <c r="I373" t="s">
        <v>25</v>
      </c>
      <c r="J373" t="s">
        <v>15</v>
      </c>
      <c r="K373">
        <v>88.95</v>
      </c>
      <c r="L373" t="s">
        <v>16</v>
      </c>
      <c r="M373" t="s">
        <v>937</v>
      </c>
      <c r="N373" t="s">
        <v>924</v>
      </c>
      <c r="O373">
        <f>_xlfn.XLOOKUP(customer_satisfaction_cleaned[[#This Row],[Product Category]],Table2[Product Category],Table2[Delivery SLA (Days)],"NA",0)</f>
        <v>10</v>
      </c>
      <c r="P3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74" spans="1:16" x14ac:dyDescent="0.2">
      <c r="A374" t="s">
        <v>17</v>
      </c>
      <c r="B374" t="s">
        <v>18</v>
      </c>
      <c r="C374">
        <v>4</v>
      </c>
      <c r="D374">
        <v>6</v>
      </c>
      <c r="E374" t="s">
        <v>32</v>
      </c>
      <c r="F374">
        <v>48.75</v>
      </c>
      <c r="G374">
        <v>59</v>
      </c>
      <c r="H374" t="s">
        <v>42</v>
      </c>
      <c r="I374" t="s">
        <v>13</v>
      </c>
      <c r="J374" t="s">
        <v>25</v>
      </c>
      <c r="K374">
        <v>48.75</v>
      </c>
      <c r="L374" t="s">
        <v>16</v>
      </c>
      <c r="M374" t="s">
        <v>16</v>
      </c>
      <c r="N374" t="s">
        <v>923</v>
      </c>
      <c r="O374">
        <f>_xlfn.XLOOKUP(customer_satisfaction_cleaned[[#This Row],[Product Category]],Table2[Product Category],Table2[Delivery SLA (Days)],"NA",0)</f>
        <v>10</v>
      </c>
      <c r="P3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5" spans="1:16" x14ac:dyDescent="0.2">
      <c r="A375" t="s">
        <v>387</v>
      </c>
      <c r="B375" t="s">
        <v>36</v>
      </c>
      <c r="C375">
        <v>10</v>
      </c>
      <c r="D375">
        <v>2</v>
      </c>
      <c r="E375" t="s">
        <v>29</v>
      </c>
      <c r="F375">
        <v>83.31</v>
      </c>
      <c r="G375">
        <v>43</v>
      </c>
      <c r="H375" t="s">
        <v>20</v>
      </c>
      <c r="I375" t="s">
        <v>25</v>
      </c>
      <c r="J375" t="s">
        <v>20</v>
      </c>
      <c r="K375">
        <v>83.31</v>
      </c>
      <c r="L375" t="s">
        <v>16</v>
      </c>
      <c r="M375" t="s">
        <v>16</v>
      </c>
      <c r="N375" t="s">
        <v>923</v>
      </c>
      <c r="O375" t="str">
        <f>_xlfn.XLOOKUP(customer_satisfaction_cleaned[[#This Row],[Product Category]],Table2[Product Category],Table2[Delivery SLA (Days)],"NA",0)</f>
        <v>NA</v>
      </c>
      <c r="P3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76" spans="1:16" x14ac:dyDescent="0.2">
      <c r="A376" t="s">
        <v>388</v>
      </c>
      <c r="B376" t="s">
        <v>12</v>
      </c>
      <c r="C376">
        <v>9</v>
      </c>
      <c r="D376">
        <v>5</v>
      </c>
      <c r="E376" t="s">
        <v>13</v>
      </c>
      <c r="F376">
        <v>11693</v>
      </c>
      <c r="G376">
        <v>37</v>
      </c>
      <c r="H376" t="s">
        <v>42</v>
      </c>
      <c r="I376" t="s">
        <v>13</v>
      </c>
      <c r="J376" t="s">
        <v>25</v>
      </c>
      <c r="K376">
        <v>11693</v>
      </c>
      <c r="L376" t="s">
        <v>16</v>
      </c>
      <c r="M376" t="s">
        <v>16</v>
      </c>
      <c r="N376" t="s">
        <v>923</v>
      </c>
      <c r="O376">
        <f>_xlfn.XLOOKUP(customer_satisfaction_cleaned[[#This Row],[Product Category]],Table2[Product Category],Table2[Delivery SLA (Days)],"NA",0)</f>
        <v>5</v>
      </c>
      <c r="P3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7" spans="1:16" x14ac:dyDescent="0.2">
      <c r="A377" t="s">
        <v>389</v>
      </c>
      <c r="B377" t="s">
        <v>47</v>
      </c>
      <c r="C377">
        <v>10</v>
      </c>
      <c r="D377">
        <v>4</v>
      </c>
      <c r="E377" t="s">
        <v>32</v>
      </c>
      <c r="F377">
        <v>61.25</v>
      </c>
      <c r="G377">
        <v>42</v>
      </c>
      <c r="H377" t="s">
        <v>15</v>
      </c>
      <c r="I377" t="s">
        <v>13</v>
      </c>
      <c r="J377" t="s">
        <v>15</v>
      </c>
      <c r="K377">
        <v>61.25</v>
      </c>
      <c r="L377" t="s">
        <v>16</v>
      </c>
      <c r="M377" t="s">
        <v>16</v>
      </c>
      <c r="N377" t="s">
        <v>923</v>
      </c>
      <c r="O377">
        <f>_xlfn.XLOOKUP(customer_satisfaction_cleaned[[#This Row],[Product Category]],Table2[Product Category],Table2[Delivery SLA (Days)],"NA",0)</f>
        <v>7</v>
      </c>
      <c r="P3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8" spans="1:16" x14ac:dyDescent="0.2">
      <c r="A378" t="s">
        <v>17</v>
      </c>
      <c r="B378" t="s">
        <v>12</v>
      </c>
      <c r="C378">
        <v>6</v>
      </c>
      <c r="D378">
        <v>5</v>
      </c>
      <c r="E378" t="s">
        <v>13</v>
      </c>
      <c r="F378">
        <v>114.36</v>
      </c>
      <c r="G378">
        <v>21</v>
      </c>
      <c r="H378" t="s">
        <v>14</v>
      </c>
      <c r="I378" t="s">
        <v>13</v>
      </c>
      <c r="J378" t="s">
        <v>15</v>
      </c>
      <c r="K378">
        <v>114.36</v>
      </c>
      <c r="L378" t="s">
        <v>16</v>
      </c>
      <c r="M378" t="s">
        <v>16</v>
      </c>
      <c r="N378" t="s">
        <v>924</v>
      </c>
      <c r="O378">
        <f>_xlfn.XLOOKUP(customer_satisfaction_cleaned[[#This Row],[Product Category]],Table2[Product Category],Table2[Delivery SLA (Days)],"NA",0)</f>
        <v>5</v>
      </c>
      <c r="P3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9" spans="1:16" x14ac:dyDescent="0.2">
      <c r="A379" t="s">
        <v>390</v>
      </c>
      <c r="B379" t="s">
        <v>23</v>
      </c>
      <c r="C379">
        <v>8</v>
      </c>
      <c r="D379">
        <v>4</v>
      </c>
      <c r="E379" t="s">
        <v>21</v>
      </c>
      <c r="F379">
        <v>64.86</v>
      </c>
      <c r="G379">
        <v>39</v>
      </c>
      <c r="H379" t="s">
        <v>29</v>
      </c>
      <c r="I379" t="s">
        <v>21</v>
      </c>
      <c r="J379" t="s">
        <v>25</v>
      </c>
      <c r="K379">
        <v>64.86</v>
      </c>
      <c r="L379" t="s">
        <v>16</v>
      </c>
      <c r="M379" t="s">
        <v>16</v>
      </c>
      <c r="N379" t="s">
        <v>923</v>
      </c>
      <c r="O379">
        <f>_xlfn.XLOOKUP(customer_satisfaction_cleaned[[#This Row],[Product Category]],Table2[Product Category],Table2[Delivery SLA (Days)],"NA",0)</f>
        <v>7</v>
      </c>
      <c r="P3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0" spans="1:16" x14ac:dyDescent="0.2">
      <c r="A380" t="s">
        <v>391</v>
      </c>
      <c r="B380" t="s">
        <v>18</v>
      </c>
      <c r="C380">
        <v>6</v>
      </c>
      <c r="D380">
        <v>8</v>
      </c>
      <c r="E380" t="s">
        <v>19</v>
      </c>
      <c r="F380">
        <v>103.86</v>
      </c>
      <c r="G380">
        <v>58</v>
      </c>
      <c r="H380" t="s">
        <v>15</v>
      </c>
      <c r="I380" t="s">
        <v>21</v>
      </c>
      <c r="J380" t="s">
        <v>15</v>
      </c>
      <c r="K380">
        <v>103.86</v>
      </c>
      <c r="L380" t="s">
        <v>16</v>
      </c>
      <c r="M380" t="s">
        <v>16</v>
      </c>
      <c r="N380" t="s">
        <v>923</v>
      </c>
      <c r="O380">
        <f>_xlfn.XLOOKUP(customer_satisfaction_cleaned[[#This Row],[Product Category]],Table2[Product Category],Table2[Delivery SLA (Days)],"NA",0)</f>
        <v>10</v>
      </c>
      <c r="P3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1" spans="1:16" x14ac:dyDescent="0.2">
      <c r="A381" t="s">
        <v>392</v>
      </c>
      <c r="B381" t="s">
        <v>12</v>
      </c>
      <c r="C381">
        <v>7</v>
      </c>
      <c r="D381">
        <v>8</v>
      </c>
      <c r="E381" t="s">
        <v>13</v>
      </c>
      <c r="F381">
        <v>92.7</v>
      </c>
      <c r="G381">
        <v>9</v>
      </c>
      <c r="H381" t="s">
        <v>20</v>
      </c>
      <c r="I381" t="s">
        <v>13</v>
      </c>
      <c r="J381" t="s">
        <v>20</v>
      </c>
      <c r="K381">
        <v>92.7</v>
      </c>
      <c r="L381" t="s">
        <v>16</v>
      </c>
      <c r="M381" t="s">
        <v>16</v>
      </c>
      <c r="N381" t="s">
        <v>926</v>
      </c>
      <c r="O381">
        <f>_xlfn.XLOOKUP(customer_satisfaction_cleaned[[#This Row],[Product Category]],Table2[Product Category],Table2[Delivery SLA (Days)],"NA",0)</f>
        <v>5</v>
      </c>
      <c r="P3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82" spans="1:16" x14ac:dyDescent="0.2">
      <c r="A382" t="s">
        <v>393</v>
      </c>
      <c r="B382" t="s">
        <v>18</v>
      </c>
      <c r="C382">
        <v>6</v>
      </c>
      <c r="D382">
        <v>7</v>
      </c>
      <c r="E382" t="s">
        <v>13</v>
      </c>
      <c r="F382">
        <v>46.81</v>
      </c>
      <c r="G382">
        <v>42</v>
      </c>
      <c r="H382" t="s">
        <v>42</v>
      </c>
      <c r="I382" t="s">
        <v>13</v>
      </c>
      <c r="J382" t="s">
        <v>25</v>
      </c>
      <c r="K382">
        <v>46.81</v>
      </c>
      <c r="L382" t="s">
        <v>16</v>
      </c>
      <c r="M382" t="s">
        <v>16</v>
      </c>
      <c r="N382" t="s">
        <v>923</v>
      </c>
      <c r="O382">
        <f>_xlfn.XLOOKUP(customer_satisfaction_cleaned[[#This Row],[Product Category]],Table2[Product Category],Table2[Delivery SLA (Days)],"NA",0)</f>
        <v>10</v>
      </c>
      <c r="P3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3" spans="1:16" x14ac:dyDescent="0.2">
      <c r="A383" t="s">
        <v>394</v>
      </c>
      <c r="B383" t="s">
        <v>47</v>
      </c>
      <c r="C383">
        <v>6</v>
      </c>
      <c r="D383">
        <v>4</v>
      </c>
      <c r="E383" t="s">
        <v>32</v>
      </c>
      <c r="F383">
        <v>117.05</v>
      </c>
      <c r="H383" t="s">
        <v>14</v>
      </c>
      <c r="I383" t="s">
        <v>13</v>
      </c>
      <c r="J383" t="s">
        <v>15</v>
      </c>
      <c r="K383">
        <v>117.05</v>
      </c>
      <c r="L383" t="s">
        <v>16</v>
      </c>
      <c r="M383" t="s">
        <v>16</v>
      </c>
      <c r="N383" t="s">
        <v>922</v>
      </c>
      <c r="O383">
        <f>_xlfn.XLOOKUP(customer_satisfaction_cleaned[[#This Row],[Product Category]],Table2[Product Category],Table2[Delivery SLA (Days)],"NA",0)</f>
        <v>7</v>
      </c>
      <c r="P3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4" spans="1:16" x14ac:dyDescent="0.2">
      <c r="A384" t="s">
        <v>395</v>
      </c>
      <c r="B384" t="s">
        <v>36</v>
      </c>
      <c r="C384">
        <v>7</v>
      </c>
      <c r="D384">
        <v>4</v>
      </c>
      <c r="E384" t="s">
        <v>13</v>
      </c>
      <c r="F384">
        <v>179.17</v>
      </c>
      <c r="G384">
        <v>41</v>
      </c>
      <c r="H384" t="s">
        <v>29</v>
      </c>
      <c r="I384" t="s">
        <v>13</v>
      </c>
      <c r="J384" t="s">
        <v>25</v>
      </c>
      <c r="K384">
        <v>179.17</v>
      </c>
      <c r="L384" t="s">
        <v>16</v>
      </c>
      <c r="M384" t="s">
        <v>16</v>
      </c>
      <c r="N384" t="s">
        <v>923</v>
      </c>
      <c r="O384" t="str">
        <f>_xlfn.XLOOKUP(customer_satisfaction_cleaned[[#This Row],[Product Category]],Table2[Product Category],Table2[Delivery SLA (Days)],"NA",0)</f>
        <v>NA</v>
      </c>
      <c r="P3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85" spans="1:16" x14ac:dyDescent="0.2">
      <c r="A385" t="s">
        <v>396</v>
      </c>
      <c r="B385" t="s">
        <v>23</v>
      </c>
      <c r="C385">
        <v>7</v>
      </c>
      <c r="D385">
        <v>8</v>
      </c>
      <c r="E385" t="s">
        <v>19</v>
      </c>
      <c r="F385">
        <v>7628</v>
      </c>
      <c r="G385">
        <v>22</v>
      </c>
      <c r="H385" t="s">
        <v>15</v>
      </c>
      <c r="I385" t="s">
        <v>21</v>
      </c>
      <c r="J385" t="s">
        <v>15</v>
      </c>
      <c r="K385">
        <v>7628</v>
      </c>
      <c r="L385" t="s">
        <v>16</v>
      </c>
      <c r="M385" t="s">
        <v>16</v>
      </c>
      <c r="N385" t="s">
        <v>924</v>
      </c>
      <c r="O385">
        <f>_xlfn.XLOOKUP(customer_satisfaction_cleaned[[#This Row],[Product Category]],Table2[Product Category],Table2[Delivery SLA (Days)],"NA",0)</f>
        <v>7</v>
      </c>
      <c r="P3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86" spans="1:16" x14ac:dyDescent="0.2">
      <c r="A386" t="s">
        <v>397</v>
      </c>
      <c r="B386" t="s">
        <v>18</v>
      </c>
      <c r="C386">
        <v>7</v>
      </c>
      <c r="D386">
        <v>5</v>
      </c>
      <c r="E386" t="s">
        <v>29</v>
      </c>
      <c r="F386">
        <v>54.59</v>
      </c>
      <c r="G386">
        <v>14</v>
      </c>
      <c r="H386" t="s">
        <v>15</v>
      </c>
      <c r="I386" t="s">
        <v>25</v>
      </c>
      <c r="J386" t="s">
        <v>15</v>
      </c>
      <c r="K386">
        <v>54.59</v>
      </c>
      <c r="L386" t="s">
        <v>16</v>
      </c>
      <c r="M386" t="s">
        <v>16</v>
      </c>
      <c r="N386" t="s">
        <v>926</v>
      </c>
      <c r="O386">
        <f>_xlfn.XLOOKUP(customer_satisfaction_cleaned[[#This Row],[Product Category]],Table2[Product Category],Table2[Delivery SLA (Days)],"NA",0)</f>
        <v>10</v>
      </c>
      <c r="P3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7" spans="1:16" x14ac:dyDescent="0.2">
      <c r="A387" t="s">
        <v>398</v>
      </c>
      <c r="B387" t="s">
        <v>47</v>
      </c>
      <c r="C387">
        <v>6</v>
      </c>
      <c r="D387">
        <v>6</v>
      </c>
      <c r="E387" t="s">
        <v>34</v>
      </c>
      <c r="F387">
        <v>156.71</v>
      </c>
      <c r="G387">
        <v>45</v>
      </c>
      <c r="H387" t="s">
        <v>24</v>
      </c>
      <c r="I387" t="s">
        <v>25</v>
      </c>
      <c r="J387" t="s">
        <v>25</v>
      </c>
      <c r="K387">
        <v>156.71</v>
      </c>
      <c r="L387" t="s">
        <v>16</v>
      </c>
      <c r="M387" t="s">
        <v>16</v>
      </c>
      <c r="N387" t="s">
        <v>923</v>
      </c>
      <c r="O387">
        <f>_xlfn.XLOOKUP(customer_satisfaction_cleaned[[#This Row],[Product Category]],Table2[Product Category],Table2[Delivery SLA (Days)],"NA",0)</f>
        <v>7</v>
      </c>
      <c r="P3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8" spans="1:16" x14ac:dyDescent="0.2">
      <c r="A388" t="s">
        <v>17</v>
      </c>
      <c r="B388" t="s">
        <v>12</v>
      </c>
      <c r="C388">
        <v>7</v>
      </c>
      <c r="D388">
        <v>5</v>
      </c>
      <c r="E388" t="s">
        <v>21</v>
      </c>
      <c r="F388">
        <v>123.08</v>
      </c>
      <c r="G388">
        <v>35</v>
      </c>
      <c r="H388" t="s">
        <v>42</v>
      </c>
      <c r="I388" t="s">
        <v>21</v>
      </c>
      <c r="J388" t="s">
        <v>25</v>
      </c>
      <c r="K388">
        <v>123.08</v>
      </c>
      <c r="L388" t="s">
        <v>16</v>
      </c>
      <c r="M388" t="s">
        <v>16</v>
      </c>
      <c r="N388" t="s">
        <v>923</v>
      </c>
      <c r="O388">
        <f>_xlfn.XLOOKUP(customer_satisfaction_cleaned[[#This Row],[Product Category]],Table2[Product Category],Table2[Delivery SLA (Days)],"NA",0)</f>
        <v>5</v>
      </c>
      <c r="P3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9" spans="1:16" x14ac:dyDescent="0.2">
      <c r="A389" t="s">
        <v>399</v>
      </c>
      <c r="B389" t="s">
        <v>47</v>
      </c>
      <c r="C389">
        <v>4</v>
      </c>
      <c r="D389">
        <v>6</v>
      </c>
      <c r="E389" t="s">
        <v>32</v>
      </c>
      <c r="F389">
        <v>93.29</v>
      </c>
      <c r="G389">
        <v>14</v>
      </c>
      <c r="H389" t="s">
        <v>20</v>
      </c>
      <c r="I389" t="s">
        <v>13</v>
      </c>
      <c r="J389" t="s">
        <v>20</v>
      </c>
      <c r="K389">
        <v>93.29</v>
      </c>
      <c r="L389" t="s">
        <v>16</v>
      </c>
      <c r="M389" t="s">
        <v>16</v>
      </c>
      <c r="N389" t="s">
        <v>926</v>
      </c>
      <c r="O389">
        <f>_xlfn.XLOOKUP(customer_satisfaction_cleaned[[#This Row],[Product Category]],Table2[Product Category],Table2[Delivery SLA (Days)],"NA",0)</f>
        <v>7</v>
      </c>
      <c r="P3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0" spans="1:16" x14ac:dyDescent="0.2">
      <c r="A390" t="s">
        <v>400</v>
      </c>
      <c r="B390" t="s">
        <v>47</v>
      </c>
      <c r="C390">
        <v>5</v>
      </c>
      <c r="D390">
        <v>4</v>
      </c>
      <c r="E390" t="s">
        <v>21</v>
      </c>
      <c r="F390">
        <v>134.94999999999999</v>
      </c>
      <c r="G390">
        <v>33</v>
      </c>
      <c r="H390" t="s">
        <v>20</v>
      </c>
      <c r="I390" t="s">
        <v>21</v>
      </c>
      <c r="J390" t="s">
        <v>20</v>
      </c>
      <c r="K390">
        <v>134.94999999999999</v>
      </c>
      <c r="L390" t="s">
        <v>16</v>
      </c>
      <c r="M390" t="s">
        <v>16</v>
      </c>
      <c r="N390" t="s">
        <v>923</v>
      </c>
      <c r="O390">
        <f>_xlfn.XLOOKUP(customer_satisfaction_cleaned[[#This Row],[Product Category]],Table2[Product Category],Table2[Delivery SLA (Days)],"NA",0)</f>
        <v>7</v>
      </c>
      <c r="P3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1" spans="1:16" x14ac:dyDescent="0.2">
      <c r="A391" t="s">
        <v>401</v>
      </c>
      <c r="B391" t="s">
        <v>47</v>
      </c>
      <c r="C391">
        <v>10</v>
      </c>
      <c r="D391">
        <v>6</v>
      </c>
      <c r="E391" t="s">
        <v>29</v>
      </c>
      <c r="F391">
        <v>65.95</v>
      </c>
      <c r="G391">
        <v>33</v>
      </c>
      <c r="H391" t="s">
        <v>42</v>
      </c>
      <c r="I391" t="s">
        <v>25</v>
      </c>
      <c r="J391" t="s">
        <v>25</v>
      </c>
      <c r="K391">
        <v>65.95</v>
      </c>
      <c r="L391" t="s">
        <v>16</v>
      </c>
      <c r="M391" t="s">
        <v>16</v>
      </c>
      <c r="N391" t="s">
        <v>923</v>
      </c>
      <c r="O391">
        <f>_xlfn.XLOOKUP(customer_satisfaction_cleaned[[#This Row],[Product Category]],Table2[Product Category],Table2[Delivery SLA (Days)],"NA",0)</f>
        <v>7</v>
      </c>
      <c r="P3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2" spans="1:16" x14ac:dyDescent="0.2">
      <c r="A392" t="s">
        <v>402</v>
      </c>
      <c r="B392" t="s">
        <v>18</v>
      </c>
      <c r="C392">
        <v>6</v>
      </c>
      <c r="E392" t="s">
        <v>32</v>
      </c>
      <c r="F392">
        <v>155.15</v>
      </c>
      <c r="G392">
        <v>16</v>
      </c>
      <c r="H392" t="s">
        <v>44</v>
      </c>
      <c r="I392" t="s">
        <v>13</v>
      </c>
      <c r="J392" t="s">
        <v>20</v>
      </c>
      <c r="K392">
        <v>155.15</v>
      </c>
      <c r="L392" t="s">
        <v>16</v>
      </c>
      <c r="M392" t="s">
        <v>937</v>
      </c>
      <c r="N392" t="s">
        <v>924</v>
      </c>
      <c r="O392">
        <f>_xlfn.XLOOKUP(customer_satisfaction_cleaned[[#This Row],[Product Category]],Table2[Product Category],Table2[Delivery SLA (Days)],"NA",0)</f>
        <v>10</v>
      </c>
      <c r="P3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93" spans="1:16" x14ac:dyDescent="0.2">
      <c r="A393" t="s">
        <v>403</v>
      </c>
      <c r="B393" t="s">
        <v>23</v>
      </c>
      <c r="C393">
        <v>5</v>
      </c>
      <c r="D393">
        <v>5</v>
      </c>
      <c r="E393" t="s">
        <v>19</v>
      </c>
      <c r="F393">
        <v>101.22</v>
      </c>
      <c r="G393">
        <v>27</v>
      </c>
      <c r="H393" t="s">
        <v>44</v>
      </c>
      <c r="I393" t="s">
        <v>21</v>
      </c>
      <c r="J393" t="s">
        <v>20</v>
      </c>
      <c r="K393">
        <v>101.22</v>
      </c>
      <c r="L393" t="s">
        <v>16</v>
      </c>
      <c r="M393" t="s">
        <v>16</v>
      </c>
      <c r="N393" t="s">
        <v>924</v>
      </c>
      <c r="O393">
        <f>_xlfn.XLOOKUP(customer_satisfaction_cleaned[[#This Row],[Product Category]],Table2[Product Category],Table2[Delivery SLA (Days)],"NA",0)</f>
        <v>7</v>
      </c>
      <c r="P3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4" spans="1:16" x14ac:dyDescent="0.2">
      <c r="A394" t="s">
        <v>404</v>
      </c>
      <c r="B394" t="s">
        <v>36</v>
      </c>
      <c r="C394">
        <v>4</v>
      </c>
      <c r="D394">
        <v>3</v>
      </c>
      <c r="E394" t="s">
        <v>21</v>
      </c>
      <c r="F394">
        <v>83.08</v>
      </c>
      <c r="G394">
        <v>47</v>
      </c>
      <c r="H394" t="s">
        <v>29</v>
      </c>
      <c r="I394" t="s">
        <v>21</v>
      </c>
      <c r="J394" t="s">
        <v>25</v>
      </c>
      <c r="K394">
        <v>83.08</v>
      </c>
      <c r="L394" t="s">
        <v>16</v>
      </c>
      <c r="M394" t="s">
        <v>16</v>
      </c>
      <c r="N394" t="s">
        <v>923</v>
      </c>
      <c r="O394" t="str">
        <f>_xlfn.XLOOKUP(customer_satisfaction_cleaned[[#This Row],[Product Category]],Table2[Product Category],Table2[Delivery SLA (Days)],"NA",0)</f>
        <v>NA</v>
      </c>
      <c r="P3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95" spans="1:16" x14ac:dyDescent="0.2">
      <c r="A395" t="s">
        <v>405</v>
      </c>
      <c r="B395" t="s">
        <v>23</v>
      </c>
      <c r="C395">
        <v>4</v>
      </c>
      <c r="D395">
        <v>2</v>
      </c>
      <c r="E395" t="s">
        <v>13</v>
      </c>
      <c r="F395">
        <v>92.91</v>
      </c>
      <c r="G395">
        <v>45</v>
      </c>
      <c r="H395" t="s">
        <v>24</v>
      </c>
      <c r="I395" t="s">
        <v>13</v>
      </c>
      <c r="J395" t="s">
        <v>25</v>
      </c>
      <c r="K395">
        <v>92.91</v>
      </c>
      <c r="L395" t="s">
        <v>16</v>
      </c>
      <c r="M395" t="s">
        <v>16</v>
      </c>
      <c r="N395" t="s">
        <v>923</v>
      </c>
      <c r="O395">
        <f>_xlfn.XLOOKUP(customer_satisfaction_cleaned[[#This Row],[Product Category]],Table2[Product Category],Table2[Delivery SLA (Days)],"NA",0)</f>
        <v>7</v>
      </c>
      <c r="P3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6" spans="1:16" x14ac:dyDescent="0.2">
      <c r="A396" t="s">
        <v>406</v>
      </c>
      <c r="B396" t="s">
        <v>47</v>
      </c>
      <c r="C396">
        <v>4</v>
      </c>
      <c r="D396">
        <v>5</v>
      </c>
      <c r="E396" t="s">
        <v>21</v>
      </c>
      <c r="F396">
        <v>140.84</v>
      </c>
      <c r="G396">
        <v>23</v>
      </c>
      <c r="H396" t="s">
        <v>29</v>
      </c>
      <c r="I396" t="s">
        <v>21</v>
      </c>
      <c r="J396" t="s">
        <v>25</v>
      </c>
      <c r="K396">
        <v>140.84</v>
      </c>
      <c r="L396" t="s">
        <v>16</v>
      </c>
      <c r="M396" t="s">
        <v>16</v>
      </c>
      <c r="N396" t="s">
        <v>924</v>
      </c>
      <c r="O396">
        <f>_xlfn.XLOOKUP(customer_satisfaction_cleaned[[#This Row],[Product Category]],Table2[Product Category],Table2[Delivery SLA (Days)],"NA",0)</f>
        <v>7</v>
      </c>
      <c r="P3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7" spans="1:16" x14ac:dyDescent="0.2">
      <c r="A397" t="s">
        <v>407</v>
      </c>
      <c r="B397" t="s">
        <v>12</v>
      </c>
      <c r="D397">
        <v>5</v>
      </c>
      <c r="E397" t="s">
        <v>29</v>
      </c>
      <c r="F397">
        <v>81.63</v>
      </c>
      <c r="G397">
        <v>18</v>
      </c>
      <c r="H397" t="s">
        <v>15</v>
      </c>
      <c r="I397" t="s">
        <v>25</v>
      </c>
      <c r="J397" t="s">
        <v>15</v>
      </c>
      <c r="K397">
        <v>81.63</v>
      </c>
      <c r="L397" t="s">
        <v>936</v>
      </c>
      <c r="M397" t="s">
        <v>16</v>
      </c>
      <c r="N397" t="s">
        <v>924</v>
      </c>
      <c r="O397">
        <f>_xlfn.XLOOKUP(customer_satisfaction_cleaned[[#This Row],[Product Category]],Table2[Product Category],Table2[Delivery SLA (Days)],"NA",0)</f>
        <v>5</v>
      </c>
      <c r="P3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8" spans="1:16" x14ac:dyDescent="0.2">
      <c r="A398" t="s">
        <v>408</v>
      </c>
      <c r="B398" t="s">
        <v>36</v>
      </c>
      <c r="C398">
        <v>5</v>
      </c>
      <c r="D398">
        <v>6</v>
      </c>
      <c r="E398" t="s">
        <v>13</v>
      </c>
      <c r="F398">
        <v>68.040000000000006</v>
      </c>
      <c r="G398">
        <v>7</v>
      </c>
      <c r="H398" t="s">
        <v>29</v>
      </c>
      <c r="I398" t="s">
        <v>13</v>
      </c>
      <c r="J398" t="s">
        <v>25</v>
      </c>
      <c r="K398">
        <v>68.040000000000006</v>
      </c>
      <c r="L398" t="s">
        <v>16</v>
      </c>
      <c r="M398" t="s">
        <v>16</v>
      </c>
      <c r="N398" t="s">
        <v>926</v>
      </c>
      <c r="O398" t="str">
        <f>_xlfn.XLOOKUP(customer_satisfaction_cleaned[[#This Row],[Product Category]],Table2[Product Category],Table2[Delivery SLA (Days)],"NA",0)</f>
        <v>NA</v>
      </c>
      <c r="P3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99" spans="1:16" x14ac:dyDescent="0.2">
      <c r="A399" t="s">
        <v>409</v>
      </c>
      <c r="B399" t="s">
        <v>23</v>
      </c>
      <c r="C399">
        <v>10</v>
      </c>
      <c r="D399">
        <v>5</v>
      </c>
      <c r="E399" t="s">
        <v>13</v>
      </c>
      <c r="F399">
        <v>116.25</v>
      </c>
      <c r="G399">
        <v>30</v>
      </c>
      <c r="H399" t="s">
        <v>42</v>
      </c>
      <c r="I399" t="s">
        <v>13</v>
      </c>
      <c r="J399" t="s">
        <v>25</v>
      </c>
      <c r="K399">
        <v>116.25</v>
      </c>
      <c r="L399" t="s">
        <v>16</v>
      </c>
      <c r="M399" t="s">
        <v>16</v>
      </c>
      <c r="N399" t="s">
        <v>923</v>
      </c>
      <c r="O399">
        <f>_xlfn.XLOOKUP(customer_satisfaction_cleaned[[#This Row],[Product Category]],Table2[Product Category],Table2[Delivery SLA (Days)],"NA",0)</f>
        <v>7</v>
      </c>
      <c r="P3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0" spans="1:16" x14ac:dyDescent="0.2">
      <c r="A400" t="s">
        <v>410</v>
      </c>
      <c r="B400" t="s">
        <v>18</v>
      </c>
      <c r="D400">
        <v>6</v>
      </c>
      <c r="E400" t="s">
        <v>13</v>
      </c>
      <c r="F400">
        <v>107.66</v>
      </c>
      <c r="G400">
        <v>37</v>
      </c>
      <c r="H400" t="s">
        <v>14</v>
      </c>
      <c r="I400" t="s">
        <v>13</v>
      </c>
      <c r="J400" t="s">
        <v>15</v>
      </c>
      <c r="K400">
        <v>107.66</v>
      </c>
      <c r="L400" t="s">
        <v>936</v>
      </c>
      <c r="M400" t="s">
        <v>16</v>
      </c>
      <c r="N400" t="s">
        <v>923</v>
      </c>
      <c r="O400">
        <f>_xlfn.XLOOKUP(customer_satisfaction_cleaned[[#This Row],[Product Category]],Table2[Product Category],Table2[Delivery SLA (Days)],"NA",0)</f>
        <v>10</v>
      </c>
      <c r="P4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1" spans="1:16" x14ac:dyDescent="0.2">
      <c r="A401" t="s">
        <v>411</v>
      </c>
      <c r="B401" t="s">
        <v>47</v>
      </c>
      <c r="C401">
        <v>8</v>
      </c>
      <c r="D401">
        <v>7</v>
      </c>
      <c r="E401" t="s">
        <v>29</v>
      </c>
      <c r="F401">
        <v>71.3</v>
      </c>
      <c r="G401">
        <v>33</v>
      </c>
      <c r="H401" t="s">
        <v>34</v>
      </c>
      <c r="I401" t="s">
        <v>25</v>
      </c>
      <c r="J401" t="s">
        <v>25</v>
      </c>
      <c r="K401">
        <v>71.3</v>
      </c>
      <c r="L401" t="s">
        <v>16</v>
      </c>
      <c r="M401" t="s">
        <v>16</v>
      </c>
      <c r="N401" t="s">
        <v>923</v>
      </c>
      <c r="O401">
        <f>_xlfn.XLOOKUP(customer_satisfaction_cleaned[[#This Row],[Product Category]],Table2[Product Category],Table2[Delivery SLA (Days)],"NA",0)</f>
        <v>7</v>
      </c>
      <c r="P4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2" spans="1:16" x14ac:dyDescent="0.2">
      <c r="A402" t="s">
        <v>412</v>
      </c>
      <c r="B402" t="s">
        <v>23</v>
      </c>
      <c r="D402">
        <v>7</v>
      </c>
      <c r="E402" t="s">
        <v>13</v>
      </c>
      <c r="F402">
        <v>127.87</v>
      </c>
      <c r="G402">
        <v>30</v>
      </c>
      <c r="H402" t="s">
        <v>20</v>
      </c>
      <c r="I402" t="s">
        <v>13</v>
      </c>
      <c r="J402" t="s">
        <v>20</v>
      </c>
      <c r="K402">
        <v>127.87</v>
      </c>
      <c r="L402" t="s">
        <v>936</v>
      </c>
      <c r="M402" t="s">
        <v>16</v>
      </c>
      <c r="N402" t="s">
        <v>923</v>
      </c>
      <c r="O402">
        <f>_xlfn.XLOOKUP(customer_satisfaction_cleaned[[#This Row],[Product Category]],Table2[Product Category],Table2[Delivery SLA (Days)],"NA",0)</f>
        <v>7</v>
      </c>
      <c r="P4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3" spans="1:16" x14ac:dyDescent="0.2">
      <c r="A403" t="s">
        <v>413</v>
      </c>
      <c r="B403" t="s">
        <v>47</v>
      </c>
      <c r="C403">
        <v>7</v>
      </c>
      <c r="D403">
        <v>6</v>
      </c>
      <c r="E403" t="s">
        <v>21</v>
      </c>
      <c r="F403">
        <v>35.119999999999997</v>
      </c>
      <c r="G403">
        <v>20</v>
      </c>
      <c r="H403" t="s">
        <v>29</v>
      </c>
      <c r="I403" t="s">
        <v>21</v>
      </c>
      <c r="J403" t="s">
        <v>25</v>
      </c>
      <c r="K403">
        <v>35.119999999999997</v>
      </c>
      <c r="L403" t="s">
        <v>16</v>
      </c>
      <c r="M403" t="s">
        <v>16</v>
      </c>
      <c r="N403" t="s">
        <v>924</v>
      </c>
      <c r="O403">
        <f>_xlfn.XLOOKUP(customer_satisfaction_cleaned[[#This Row],[Product Category]],Table2[Product Category],Table2[Delivery SLA (Days)],"NA",0)</f>
        <v>7</v>
      </c>
      <c r="P4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4" spans="1:16" x14ac:dyDescent="0.2">
      <c r="A404" t="s">
        <v>414</v>
      </c>
      <c r="B404" t="s">
        <v>12</v>
      </c>
      <c r="C404">
        <v>10</v>
      </c>
      <c r="D404">
        <v>3</v>
      </c>
      <c r="E404" t="s">
        <v>21</v>
      </c>
      <c r="F404">
        <v>59.11</v>
      </c>
      <c r="G404">
        <v>27</v>
      </c>
      <c r="H404" t="s">
        <v>14</v>
      </c>
      <c r="I404" t="s">
        <v>21</v>
      </c>
      <c r="J404" t="s">
        <v>15</v>
      </c>
      <c r="K404">
        <v>59.11</v>
      </c>
      <c r="L404" t="s">
        <v>16</v>
      </c>
      <c r="M404" t="s">
        <v>16</v>
      </c>
      <c r="N404" t="s">
        <v>924</v>
      </c>
      <c r="O404">
        <f>_xlfn.XLOOKUP(customer_satisfaction_cleaned[[#This Row],[Product Category]],Table2[Product Category],Table2[Delivery SLA (Days)],"NA",0)</f>
        <v>5</v>
      </c>
      <c r="P4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5" spans="1:16" x14ac:dyDescent="0.2">
      <c r="A405" t="s">
        <v>415</v>
      </c>
      <c r="B405" t="s">
        <v>18</v>
      </c>
      <c r="C405">
        <v>8</v>
      </c>
      <c r="D405">
        <v>4</v>
      </c>
      <c r="E405" t="s">
        <v>13</v>
      </c>
      <c r="F405">
        <v>181.32</v>
      </c>
      <c r="G405">
        <v>46</v>
      </c>
      <c r="H405" t="s">
        <v>15</v>
      </c>
      <c r="I405" t="s">
        <v>13</v>
      </c>
      <c r="J405" t="s">
        <v>15</v>
      </c>
      <c r="K405">
        <v>181.32</v>
      </c>
      <c r="L405" t="s">
        <v>16</v>
      </c>
      <c r="M405" t="s">
        <v>16</v>
      </c>
      <c r="N405" t="s">
        <v>923</v>
      </c>
      <c r="O405">
        <f>_xlfn.XLOOKUP(customer_satisfaction_cleaned[[#This Row],[Product Category]],Table2[Product Category],Table2[Delivery SLA (Days)],"NA",0)</f>
        <v>10</v>
      </c>
      <c r="P4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6" spans="1:16" x14ac:dyDescent="0.2">
      <c r="A406" t="s">
        <v>416</v>
      </c>
      <c r="B406" t="s">
        <v>47</v>
      </c>
      <c r="C406">
        <v>8</v>
      </c>
      <c r="D406">
        <v>7</v>
      </c>
      <c r="E406" t="s">
        <v>32</v>
      </c>
      <c r="F406">
        <v>99.86</v>
      </c>
      <c r="G406">
        <v>34</v>
      </c>
      <c r="H406" t="s">
        <v>29</v>
      </c>
      <c r="I406" t="s">
        <v>13</v>
      </c>
      <c r="J406" t="s">
        <v>25</v>
      </c>
      <c r="K406">
        <v>99.86</v>
      </c>
      <c r="L406" t="s">
        <v>16</v>
      </c>
      <c r="M406" t="s">
        <v>16</v>
      </c>
      <c r="N406" t="s">
        <v>923</v>
      </c>
      <c r="O406">
        <f>_xlfn.XLOOKUP(customer_satisfaction_cleaned[[#This Row],[Product Category]],Table2[Product Category],Table2[Delivery SLA (Days)],"NA",0)</f>
        <v>7</v>
      </c>
      <c r="P4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7" spans="1:16" x14ac:dyDescent="0.2">
      <c r="A407" t="s">
        <v>417</v>
      </c>
      <c r="B407" t="s">
        <v>18</v>
      </c>
      <c r="C407">
        <v>8</v>
      </c>
      <c r="E407" t="s">
        <v>21</v>
      </c>
      <c r="F407">
        <v>99.03</v>
      </c>
      <c r="G407">
        <v>8</v>
      </c>
      <c r="H407" t="s">
        <v>44</v>
      </c>
      <c r="I407" t="s">
        <v>21</v>
      </c>
      <c r="J407" t="s">
        <v>20</v>
      </c>
      <c r="K407">
        <v>99.03</v>
      </c>
      <c r="L407" t="s">
        <v>16</v>
      </c>
      <c r="M407" t="s">
        <v>937</v>
      </c>
      <c r="N407" t="s">
        <v>926</v>
      </c>
      <c r="O407">
        <f>_xlfn.XLOOKUP(customer_satisfaction_cleaned[[#This Row],[Product Category]],Table2[Product Category],Table2[Delivery SLA (Days)],"NA",0)</f>
        <v>10</v>
      </c>
      <c r="P4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08" spans="1:16" x14ac:dyDescent="0.2">
      <c r="A408" t="s">
        <v>418</v>
      </c>
      <c r="B408" t="s">
        <v>18</v>
      </c>
      <c r="C408">
        <v>6</v>
      </c>
      <c r="D408">
        <v>7</v>
      </c>
      <c r="E408" t="s">
        <v>32</v>
      </c>
      <c r="F408">
        <v>41.06</v>
      </c>
      <c r="G408">
        <v>36</v>
      </c>
      <c r="H408" t="s">
        <v>14</v>
      </c>
      <c r="I408" t="s">
        <v>13</v>
      </c>
      <c r="J408" t="s">
        <v>15</v>
      </c>
      <c r="K408">
        <v>41.06</v>
      </c>
      <c r="L408" t="s">
        <v>16</v>
      </c>
      <c r="M408" t="s">
        <v>16</v>
      </c>
      <c r="N408" t="s">
        <v>923</v>
      </c>
      <c r="O408">
        <f>_xlfn.XLOOKUP(customer_satisfaction_cleaned[[#This Row],[Product Category]],Table2[Product Category],Table2[Delivery SLA (Days)],"NA",0)</f>
        <v>10</v>
      </c>
      <c r="P4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9" spans="1:16" x14ac:dyDescent="0.2">
      <c r="A409" t="s">
        <v>17</v>
      </c>
      <c r="B409" t="s">
        <v>47</v>
      </c>
      <c r="C409">
        <v>6</v>
      </c>
      <c r="D409">
        <v>3</v>
      </c>
      <c r="E409" t="s">
        <v>19</v>
      </c>
      <c r="F409">
        <v>3.39</v>
      </c>
      <c r="G409">
        <v>33</v>
      </c>
      <c r="H409" t="s">
        <v>24</v>
      </c>
      <c r="I409" t="s">
        <v>21</v>
      </c>
      <c r="J409" t="s">
        <v>25</v>
      </c>
      <c r="K409">
        <v>3.39</v>
      </c>
      <c r="L409" t="s">
        <v>16</v>
      </c>
      <c r="M409" t="s">
        <v>16</v>
      </c>
      <c r="N409" t="s">
        <v>923</v>
      </c>
      <c r="O409">
        <f>_xlfn.XLOOKUP(customer_satisfaction_cleaned[[#This Row],[Product Category]],Table2[Product Category],Table2[Delivery SLA (Days)],"NA",0)</f>
        <v>7</v>
      </c>
      <c r="P4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0" spans="1:16" x14ac:dyDescent="0.2">
      <c r="A410" t="s">
        <v>419</v>
      </c>
      <c r="B410" t="s">
        <v>12</v>
      </c>
      <c r="C410">
        <v>9</v>
      </c>
      <c r="E410" t="s">
        <v>34</v>
      </c>
      <c r="F410">
        <v>91.52</v>
      </c>
      <c r="G410">
        <v>40</v>
      </c>
      <c r="H410" t="s">
        <v>15</v>
      </c>
      <c r="I410" t="s">
        <v>25</v>
      </c>
      <c r="J410" t="s">
        <v>15</v>
      </c>
      <c r="K410">
        <v>91.52</v>
      </c>
      <c r="L410" t="s">
        <v>16</v>
      </c>
      <c r="M410" t="s">
        <v>937</v>
      </c>
      <c r="N410" t="s">
        <v>923</v>
      </c>
      <c r="O410">
        <f>_xlfn.XLOOKUP(customer_satisfaction_cleaned[[#This Row],[Product Category]],Table2[Product Category],Table2[Delivery SLA (Days)],"NA",0)</f>
        <v>5</v>
      </c>
      <c r="P4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11" spans="1:16" x14ac:dyDescent="0.2">
      <c r="A411" t="s">
        <v>420</v>
      </c>
      <c r="B411" t="s">
        <v>12</v>
      </c>
      <c r="C411">
        <v>2</v>
      </c>
      <c r="D411">
        <v>5</v>
      </c>
      <c r="E411" t="s">
        <v>13</v>
      </c>
      <c r="F411">
        <v>81.319999999999993</v>
      </c>
      <c r="G411">
        <v>53</v>
      </c>
      <c r="H411" t="s">
        <v>14</v>
      </c>
      <c r="I411" t="s">
        <v>13</v>
      </c>
      <c r="J411" t="s">
        <v>15</v>
      </c>
      <c r="K411">
        <v>81.319999999999993</v>
      </c>
      <c r="L411" t="s">
        <v>16</v>
      </c>
      <c r="M411" t="s">
        <v>16</v>
      </c>
      <c r="N411" t="s">
        <v>923</v>
      </c>
      <c r="O411">
        <f>_xlfn.XLOOKUP(customer_satisfaction_cleaned[[#This Row],[Product Category]],Table2[Product Category],Table2[Delivery SLA (Days)],"NA",0)</f>
        <v>5</v>
      </c>
      <c r="P4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2" spans="1:16" x14ac:dyDescent="0.2">
      <c r="A412" t="s">
        <v>421</v>
      </c>
      <c r="B412" t="s">
        <v>47</v>
      </c>
      <c r="C412">
        <v>4</v>
      </c>
      <c r="D412">
        <v>5</v>
      </c>
      <c r="E412" t="s">
        <v>13</v>
      </c>
      <c r="F412">
        <v>17.55</v>
      </c>
      <c r="G412">
        <v>50</v>
      </c>
      <c r="H412" t="s">
        <v>44</v>
      </c>
      <c r="I412" t="s">
        <v>13</v>
      </c>
      <c r="J412" t="s">
        <v>20</v>
      </c>
      <c r="K412">
        <v>17.55</v>
      </c>
      <c r="L412" t="s">
        <v>16</v>
      </c>
      <c r="M412" t="s">
        <v>16</v>
      </c>
      <c r="N412" t="s">
        <v>923</v>
      </c>
      <c r="O412">
        <f>_xlfn.XLOOKUP(customer_satisfaction_cleaned[[#This Row],[Product Category]],Table2[Product Category],Table2[Delivery SLA (Days)],"NA",0)</f>
        <v>7</v>
      </c>
      <c r="P4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3" spans="1:16" x14ac:dyDescent="0.2">
      <c r="A413" t="s">
        <v>422</v>
      </c>
      <c r="B413" t="s">
        <v>23</v>
      </c>
      <c r="C413">
        <v>7</v>
      </c>
      <c r="D413">
        <v>5</v>
      </c>
      <c r="E413" t="s">
        <v>34</v>
      </c>
      <c r="F413">
        <v>146.4</v>
      </c>
      <c r="G413">
        <v>9</v>
      </c>
      <c r="H413" t="s">
        <v>44</v>
      </c>
      <c r="I413" t="s">
        <v>25</v>
      </c>
      <c r="J413" t="s">
        <v>20</v>
      </c>
      <c r="K413">
        <v>146.4</v>
      </c>
      <c r="L413" t="s">
        <v>16</v>
      </c>
      <c r="M413" t="s">
        <v>16</v>
      </c>
      <c r="N413" t="s">
        <v>926</v>
      </c>
      <c r="O413">
        <f>_xlfn.XLOOKUP(customer_satisfaction_cleaned[[#This Row],[Product Category]],Table2[Product Category],Table2[Delivery SLA (Days)],"NA",0)</f>
        <v>7</v>
      </c>
      <c r="P4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4" spans="1:16" x14ac:dyDescent="0.2">
      <c r="A414" t="s">
        <v>423</v>
      </c>
      <c r="B414" t="s">
        <v>36</v>
      </c>
      <c r="C414">
        <v>5</v>
      </c>
      <c r="D414">
        <v>8</v>
      </c>
      <c r="E414" t="s">
        <v>19</v>
      </c>
      <c r="F414">
        <v>198.54</v>
      </c>
      <c r="G414">
        <v>28</v>
      </c>
      <c r="H414" t="s">
        <v>34</v>
      </c>
      <c r="I414" t="s">
        <v>21</v>
      </c>
      <c r="J414" t="s">
        <v>25</v>
      </c>
      <c r="K414">
        <v>198.54</v>
      </c>
      <c r="L414" t="s">
        <v>16</v>
      </c>
      <c r="M414" t="s">
        <v>16</v>
      </c>
      <c r="N414" t="s">
        <v>924</v>
      </c>
      <c r="O414" t="str">
        <f>_xlfn.XLOOKUP(customer_satisfaction_cleaned[[#This Row],[Product Category]],Table2[Product Category],Table2[Delivery SLA (Days)],"NA",0)</f>
        <v>NA</v>
      </c>
      <c r="P4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15" spans="1:16" x14ac:dyDescent="0.2">
      <c r="A415" t="s">
        <v>424</v>
      </c>
      <c r="B415" t="s">
        <v>18</v>
      </c>
      <c r="C415">
        <v>9</v>
      </c>
      <c r="D415">
        <v>6</v>
      </c>
      <c r="E415" t="s">
        <v>21</v>
      </c>
      <c r="F415">
        <v>42.15</v>
      </c>
      <c r="H415" t="s">
        <v>42</v>
      </c>
      <c r="I415" t="s">
        <v>21</v>
      </c>
      <c r="J415" t="s">
        <v>25</v>
      </c>
      <c r="K415">
        <v>42.15</v>
      </c>
      <c r="L415" t="s">
        <v>16</v>
      </c>
      <c r="M415" t="s">
        <v>16</v>
      </c>
      <c r="N415" t="s">
        <v>922</v>
      </c>
      <c r="O415">
        <f>_xlfn.XLOOKUP(customer_satisfaction_cleaned[[#This Row],[Product Category]],Table2[Product Category],Table2[Delivery SLA (Days)],"NA",0)</f>
        <v>10</v>
      </c>
      <c r="P4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6" spans="1:16" x14ac:dyDescent="0.2">
      <c r="A416" t="s">
        <v>425</v>
      </c>
      <c r="B416" t="s">
        <v>18</v>
      </c>
      <c r="C416">
        <v>11</v>
      </c>
      <c r="D416">
        <v>4</v>
      </c>
      <c r="E416" t="s">
        <v>29</v>
      </c>
      <c r="F416">
        <v>88.08</v>
      </c>
      <c r="G416">
        <v>24</v>
      </c>
      <c r="H416" t="s">
        <v>44</v>
      </c>
      <c r="I416" t="s">
        <v>25</v>
      </c>
      <c r="J416" t="s">
        <v>20</v>
      </c>
      <c r="K416">
        <v>88.08</v>
      </c>
      <c r="L416" t="s">
        <v>16</v>
      </c>
      <c r="M416" t="s">
        <v>16</v>
      </c>
      <c r="N416" t="s">
        <v>924</v>
      </c>
      <c r="O416">
        <f>_xlfn.XLOOKUP(customer_satisfaction_cleaned[[#This Row],[Product Category]],Table2[Product Category],Table2[Delivery SLA (Days)],"NA",0)</f>
        <v>10</v>
      </c>
      <c r="P4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7" spans="1:16" x14ac:dyDescent="0.2">
      <c r="A417" t="s">
        <v>426</v>
      </c>
      <c r="B417" t="s">
        <v>23</v>
      </c>
      <c r="C417">
        <v>8</v>
      </c>
      <c r="D417">
        <v>3</v>
      </c>
      <c r="E417" t="s">
        <v>21</v>
      </c>
      <c r="F417">
        <v>144.5</v>
      </c>
      <c r="G417">
        <v>44</v>
      </c>
      <c r="H417" t="s">
        <v>14</v>
      </c>
      <c r="I417" t="s">
        <v>21</v>
      </c>
      <c r="J417" t="s">
        <v>15</v>
      </c>
      <c r="K417">
        <v>144.5</v>
      </c>
      <c r="L417" t="s">
        <v>16</v>
      </c>
      <c r="M417" t="s">
        <v>16</v>
      </c>
      <c r="N417" t="s">
        <v>923</v>
      </c>
      <c r="O417">
        <f>_xlfn.XLOOKUP(customer_satisfaction_cleaned[[#This Row],[Product Category]],Table2[Product Category],Table2[Delivery SLA (Days)],"NA",0)</f>
        <v>7</v>
      </c>
      <c r="P4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8" spans="1:16" x14ac:dyDescent="0.2">
      <c r="A418" t="s">
        <v>427</v>
      </c>
      <c r="B418" t="s">
        <v>23</v>
      </c>
      <c r="C418">
        <v>3</v>
      </c>
      <c r="D418">
        <v>4</v>
      </c>
      <c r="E418" t="s">
        <v>19</v>
      </c>
      <c r="F418">
        <v>86.55</v>
      </c>
      <c r="G418">
        <v>0</v>
      </c>
      <c r="H418" t="s">
        <v>29</v>
      </c>
      <c r="I418" t="s">
        <v>21</v>
      </c>
      <c r="J418" t="s">
        <v>25</v>
      </c>
      <c r="K418">
        <v>86.55</v>
      </c>
      <c r="L418" t="s">
        <v>16</v>
      </c>
      <c r="M418" t="s">
        <v>16</v>
      </c>
      <c r="N418" t="s">
        <v>926</v>
      </c>
      <c r="O418">
        <f>_xlfn.XLOOKUP(customer_satisfaction_cleaned[[#This Row],[Product Category]],Table2[Product Category],Table2[Delivery SLA (Days)],"NA",0)</f>
        <v>7</v>
      </c>
      <c r="P4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9" spans="1:16" x14ac:dyDescent="0.2">
      <c r="A419" t="s">
        <v>428</v>
      </c>
      <c r="B419" t="s">
        <v>23</v>
      </c>
      <c r="C419">
        <v>8</v>
      </c>
      <c r="D419">
        <v>3</v>
      </c>
      <c r="E419" t="s">
        <v>21</v>
      </c>
      <c r="F419">
        <v>90.93</v>
      </c>
      <c r="G419">
        <v>51</v>
      </c>
      <c r="H419" t="s">
        <v>20</v>
      </c>
      <c r="I419" t="s">
        <v>21</v>
      </c>
      <c r="J419" t="s">
        <v>20</v>
      </c>
      <c r="K419">
        <v>90.93</v>
      </c>
      <c r="L419" t="s">
        <v>16</v>
      </c>
      <c r="M419" t="s">
        <v>16</v>
      </c>
      <c r="N419" t="s">
        <v>923</v>
      </c>
      <c r="O419">
        <f>_xlfn.XLOOKUP(customer_satisfaction_cleaned[[#This Row],[Product Category]],Table2[Product Category],Table2[Delivery SLA (Days)],"NA",0)</f>
        <v>7</v>
      </c>
      <c r="P4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0" spans="1:16" x14ac:dyDescent="0.2">
      <c r="A420" t="s">
        <v>429</v>
      </c>
      <c r="B420" t="s">
        <v>12</v>
      </c>
      <c r="C420">
        <v>6</v>
      </c>
      <c r="D420">
        <v>7</v>
      </c>
      <c r="E420" t="s">
        <v>13</v>
      </c>
      <c r="F420">
        <v>42.41</v>
      </c>
      <c r="G420">
        <v>41</v>
      </c>
      <c r="H420" t="s">
        <v>20</v>
      </c>
      <c r="I420" t="s">
        <v>13</v>
      </c>
      <c r="J420" t="s">
        <v>20</v>
      </c>
      <c r="K420">
        <v>42.41</v>
      </c>
      <c r="L420" t="s">
        <v>16</v>
      </c>
      <c r="M420" t="s">
        <v>16</v>
      </c>
      <c r="N420" t="s">
        <v>923</v>
      </c>
      <c r="O420">
        <f>_xlfn.XLOOKUP(customer_satisfaction_cleaned[[#This Row],[Product Category]],Table2[Product Category],Table2[Delivery SLA (Days)],"NA",0)</f>
        <v>5</v>
      </c>
      <c r="P4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21" spans="1:16" x14ac:dyDescent="0.2">
      <c r="A421" t="s">
        <v>430</v>
      </c>
      <c r="B421" t="s">
        <v>12</v>
      </c>
      <c r="C421">
        <v>5</v>
      </c>
      <c r="D421">
        <v>4</v>
      </c>
      <c r="E421" t="s">
        <v>29</v>
      </c>
      <c r="F421">
        <v>64.25</v>
      </c>
      <c r="G421">
        <v>43</v>
      </c>
      <c r="H421" t="s">
        <v>20</v>
      </c>
      <c r="I421" t="s">
        <v>25</v>
      </c>
      <c r="J421" t="s">
        <v>20</v>
      </c>
      <c r="K421">
        <v>64.25</v>
      </c>
      <c r="L421" t="s">
        <v>16</v>
      </c>
      <c r="M421" t="s">
        <v>16</v>
      </c>
      <c r="N421" t="s">
        <v>923</v>
      </c>
      <c r="O421">
        <f>_xlfn.XLOOKUP(customer_satisfaction_cleaned[[#This Row],[Product Category]],Table2[Product Category],Table2[Delivery SLA (Days)],"NA",0)</f>
        <v>5</v>
      </c>
      <c r="P4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2" spans="1:16" x14ac:dyDescent="0.2">
      <c r="A422" t="s">
        <v>431</v>
      </c>
      <c r="B422" t="s">
        <v>23</v>
      </c>
      <c r="C422">
        <v>7</v>
      </c>
      <c r="D422">
        <v>4</v>
      </c>
      <c r="E422" t="s">
        <v>32</v>
      </c>
      <c r="F422">
        <v>85.4</v>
      </c>
      <c r="G422">
        <v>13</v>
      </c>
      <c r="H422" t="s">
        <v>44</v>
      </c>
      <c r="I422" t="s">
        <v>13</v>
      </c>
      <c r="J422" t="s">
        <v>20</v>
      </c>
      <c r="K422">
        <v>85.4</v>
      </c>
      <c r="L422" t="s">
        <v>16</v>
      </c>
      <c r="M422" t="s">
        <v>16</v>
      </c>
      <c r="N422" t="s">
        <v>926</v>
      </c>
      <c r="O422">
        <f>_xlfn.XLOOKUP(customer_satisfaction_cleaned[[#This Row],[Product Category]],Table2[Product Category],Table2[Delivery SLA (Days)],"NA",0)</f>
        <v>7</v>
      </c>
      <c r="P4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3" spans="1:16" x14ac:dyDescent="0.2">
      <c r="A423" t="s">
        <v>432</v>
      </c>
      <c r="B423" t="s">
        <v>18</v>
      </c>
      <c r="C423">
        <v>4</v>
      </c>
      <c r="D423">
        <v>9</v>
      </c>
      <c r="E423" t="s">
        <v>13</v>
      </c>
      <c r="F423">
        <v>83.61</v>
      </c>
      <c r="G423">
        <v>50</v>
      </c>
      <c r="H423" t="s">
        <v>20</v>
      </c>
      <c r="I423" t="s">
        <v>13</v>
      </c>
      <c r="J423" t="s">
        <v>20</v>
      </c>
      <c r="K423">
        <v>83.61</v>
      </c>
      <c r="L423" t="s">
        <v>16</v>
      </c>
      <c r="M423" t="s">
        <v>16</v>
      </c>
      <c r="N423" t="s">
        <v>923</v>
      </c>
      <c r="O423">
        <f>_xlfn.XLOOKUP(customer_satisfaction_cleaned[[#This Row],[Product Category]],Table2[Product Category],Table2[Delivery SLA (Days)],"NA",0)</f>
        <v>10</v>
      </c>
      <c r="P4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4" spans="1:16" x14ac:dyDescent="0.2">
      <c r="A424" t="s">
        <v>433</v>
      </c>
      <c r="B424" t="s">
        <v>23</v>
      </c>
      <c r="C424">
        <v>8</v>
      </c>
      <c r="D424">
        <v>7</v>
      </c>
      <c r="E424" t="s">
        <v>19</v>
      </c>
      <c r="F424">
        <v>145.80000000000001</v>
      </c>
      <c r="G424">
        <v>45</v>
      </c>
      <c r="H424" t="s">
        <v>29</v>
      </c>
      <c r="I424" t="s">
        <v>21</v>
      </c>
      <c r="J424" t="s">
        <v>25</v>
      </c>
      <c r="K424">
        <v>145.80000000000001</v>
      </c>
      <c r="L424" t="s">
        <v>16</v>
      </c>
      <c r="M424" t="s">
        <v>16</v>
      </c>
      <c r="N424" t="s">
        <v>923</v>
      </c>
      <c r="O424">
        <f>_xlfn.XLOOKUP(customer_satisfaction_cleaned[[#This Row],[Product Category]],Table2[Product Category],Table2[Delivery SLA (Days)],"NA",0)</f>
        <v>7</v>
      </c>
      <c r="P4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5" spans="1:16" x14ac:dyDescent="0.2">
      <c r="A425" t="s">
        <v>434</v>
      </c>
      <c r="B425" t="s">
        <v>23</v>
      </c>
      <c r="C425">
        <v>8</v>
      </c>
      <c r="D425">
        <v>5</v>
      </c>
      <c r="E425" t="s">
        <v>21</v>
      </c>
      <c r="F425">
        <v>116.29</v>
      </c>
      <c r="G425">
        <v>23</v>
      </c>
      <c r="H425" t="s">
        <v>14</v>
      </c>
      <c r="I425" t="s">
        <v>21</v>
      </c>
      <c r="J425" t="s">
        <v>15</v>
      </c>
      <c r="K425">
        <v>116.29</v>
      </c>
      <c r="L425" t="s">
        <v>16</v>
      </c>
      <c r="M425" t="s">
        <v>16</v>
      </c>
      <c r="N425" t="s">
        <v>924</v>
      </c>
      <c r="O425">
        <f>_xlfn.XLOOKUP(customer_satisfaction_cleaned[[#This Row],[Product Category]],Table2[Product Category],Table2[Delivery SLA (Days)],"NA",0)</f>
        <v>7</v>
      </c>
      <c r="P4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6" spans="1:16" x14ac:dyDescent="0.2">
      <c r="A426" t="s">
        <v>435</v>
      </c>
      <c r="B426" t="s">
        <v>47</v>
      </c>
      <c r="C426">
        <v>8</v>
      </c>
      <c r="D426">
        <v>6</v>
      </c>
      <c r="E426" t="s">
        <v>13</v>
      </c>
      <c r="F426">
        <v>152.63999999999999</v>
      </c>
      <c r="G426">
        <v>9</v>
      </c>
      <c r="H426" t="s">
        <v>24</v>
      </c>
      <c r="I426" t="s">
        <v>13</v>
      </c>
      <c r="J426" t="s">
        <v>25</v>
      </c>
      <c r="K426">
        <v>152.63999999999999</v>
      </c>
      <c r="L426" t="s">
        <v>16</v>
      </c>
      <c r="M426" t="s">
        <v>16</v>
      </c>
      <c r="N426" t="s">
        <v>926</v>
      </c>
      <c r="O426">
        <f>_xlfn.XLOOKUP(customer_satisfaction_cleaned[[#This Row],[Product Category]],Table2[Product Category],Table2[Delivery SLA (Days)],"NA",0)</f>
        <v>7</v>
      </c>
      <c r="P4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7" spans="1:16" x14ac:dyDescent="0.2">
      <c r="A427" t="s">
        <v>436</v>
      </c>
      <c r="B427" t="s">
        <v>12</v>
      </c>
      <c r="C427">
        <v>6</v>
      </c>
      <c r="D427">
        <v>3</v>
      </c>
      <c r="E427" t="s">
        <v>13</v>
      </c>
      <c r="F427">
        <v>45.23</v>
      </c>
      <c r="G427">
        <v>7</v>
      </c>
      <c r="H427" t="s">
        <v>34</v>
      </c>
      <c r="I427" t="s">
        <v>13</v>
      </c>
      <c r="J427" t="s">
        <v>25</v>
      </c>
      <c r="K427">
        <v>45.23</v>
      </c>
      <c r="L427" t="s">
        <v>16</v>
      </c>
      <c r="M427" t="s">
        <v>16</v>
      </c>
      <c r="N427" t="s">
        <v>926</v>
      </c>
      <c r="O427">
        <f>_xlfn.XLOOKUP(customer_satisfaction_cleaned[[#This Row],[Product Category]],Table2[Product Category],Table2[Delivery SLA (Days)],"NA",0)</f>
        <v>5</v>
      </c>
      <c r="P4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8" spans="1:16" x14ac:dyDescent="0.2">
      <c r="A428" t="s">
        <v>437</v>
      </c>
      <c r="B428" t="s">
        <v>12</v>
      </c>
      <c r="C428">
        <v>8</v>
      </c>
      <c r="D428">
        <v>6</v>
      </c>
      <c r="E428" t="s">
        <v>21</v>
      </c>
      <c r="F428">
        <v>75.2</v>
      </c>
      <c r="G428">
        <v>48</v>
      </c>
      <c r="H428" t="s">
        <v>24</v>
      </c>
      <c r="I428" t="s">
        <v>21</v>
      </c>
      <c r="J428" t="s">
        <v>25</v>
      </c>
      <c r="K428">
        <v>75.2</v>
      </c>
      <c r="L428" t="s">
        <v>16</v>
      </c>
      <c r="M428" t="s">
        <v>16</v>
      </c>
      <c r="N428" t="s">
        <v>923</v>
      </c>
      <c r="O428">
        <f>_xlfn.XLOOKUP(customer_satisfaction_cleaned[[#This Row],[Product Category]],Table2[Product Category],Table2[Delivery SLA (Days)],"NA",0)</f>
        <v>5</v>
      </c>
      <c r="P4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29" spans="1:16" x14ac:dyDescent="0.2">
      <c r="A429" t="s">
        <v>438</v>
      </c>
      <c r="B429" t="s">
        <v>36</v>
      </c>
      <c r="C429">
        <v>7</v>
      </c>
      <c r="D429">
        <v>6</v>
      </c>
      <c r="E429" t="s">
        <v>13</v>
      </c>
      <c r="F429">
        <v>98.09</v>
      </c>
      <c r="G429">
        <v>25</v>
      </c>
      <c r="H429" t="s">
        <v>42</v>
      </c>
      <c r="I429" t="s">
        <v>13</v>
      </c>
      <c r="J429" t="s">
        <v>25</v>
      </c>
      <c r="K429">
        <v>98.09</v>
      </c>
      <c r="L429" t="s">
        <v>16</v>
      </c>
      <c r="M429" t="s">
        <v>16</v>
      </c>
      <c r="N429" t="s">
        <v>924</v>
      </c>
      <c r="O429" t="str">
        <f>_xlfn.XLOOKUP(customer_satisfaction_cleaned[[#This Row],[Product Category]],Table2[Product Category],Table2[Delivery SLA (Days)],"NA",0)</f>
        <v>NA</v>
      </c>
      <c r="P4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30" spans="1:16" x14ac:dyDescent="0.2">
      <c r="A430" t="s">
        <v>439</v>
      </c>
      <c r="B430" t="s">
        <v>23</v>
      </c>
      <c r="C430">
        <v>6</v>
      </c>
      <c r="D430">
        <v>5</v>
      </c>
      <c r="E430" t="s">
        <v>34</v>
      </c>
      <c r="F430">
        <v>71.900000000000006</v>
      </c>
      <c r="G430">
        <v>28</v>
      </c>
      <c r="H430" t="s">
        <v>24</v>
      </c>
      <c r="I430" t="s">
        <v>25</v>
      </c>
      <c r="J430" t="s">
        <v>25</v>
      </c>
      <c r="K430">
        <v>71.900000000000006</v>
      </c>
      <c r="L430" t="s">
        <v>16</v>
      </c>
      <c r="M430" t="s">
        <v>16</v>
      </c>
      <c r="N430" t="s">
        <v>924</v>
      </c>
      <c r="O430">
        <f>_xlfn.XLOOKUP(customer_satisfaction_cleaned[[#This Row],[Product Category]],Table2[Product Category],Table2[Delivery SLA (Days)],"NA",0)</f>
        <v>7</v>
      </c>
      <c r="P4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1" spans="1:16" x14ac:dyDescent="0.2">
      <c r="A431" t="s">
        <v>440</v>
      </c>
      <c r="B431" t="s">
        <v>23</v>
      </c>
      <c r="C431">
        <v>7</v>
      </c>
      <c r="D431">
        <v>9</v>
      </c>
      <c r="E431" t="s">
        <v>13</v>
      </c>
      <c r="F431">
        <v>133.82</v>
      </c>
      <c r="G431">
        <v>26</v>
      </c>
      <c r="H431" t="s">
        <v>15</v>
      </c>
      <c r="I431" t="s">
        <v>13</v>
      </c>
      <c r="J431" t="s">
        <v>15</v>
      </c>
      <c r="K431">
        <v>133.82</v>
      </c>
      <c r="L431" t="s">
        <v>16</v>
      </c>
      <c r="M431" t="s">
        <v>16</v>
      </c>
      <c r="N431" t="s">
        <v>924</v>
      </c>
      <c r="O431">
        <f>_xlfn.XLOOKUP(customer_satisfaction_cleaned[[#This Row],[Product Category]],Table2[Product Category],Table2[Delivery SLA (Days)],"NA",0)</f>
        <v>7</v>
      </c>
      <c r="P4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32" spans="1:16" x14ac:dyDescent="0.2">
      <c r="A432" t="s">
        <v>441</v>
      </c>
      <c r="B432" t="s">
        <v>47</v>
      </c>
      <c r="C432">
        <v>10</v>
      </c>
      <c r="D432">
        <v>4</v>
      </c>
      <c r="E432" t="s">
        <v>21</v>
      </c>
      <c r="F432">
        <v>68.17</v>
      </c>
      <c r="G432">
        <v>41</v>
      </c>
      <c r="H432" t="s">
        <v>44</v>
      </c>
      <c r="I432" t="s">
        <v>21</v>
      </c>
      <c r="J432" t="s">
        <v>20</v>
      </c>
      <c r="K432">
        <v>68.17</v>
      </c>
      <c r="L432" t="s">
        <v>16</v>
      </c>
      <c r="M432" t="s">
        <v>16</v>
      </c>
      <c r="N432" t="s">
        <v>923</v>
      </c>
      <c r="O432">
        <f>_xlfn.XLOOKUP(customer_satisfaction_cleaned[[#This Row],[Product Category]],Table2[Product Category],Table2[Delivery SLA (Days)],"NA",0)</f>
        <v>7</v>
      </c>
      <c r="P4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3" spans="1:16" x14ac:dyDescent="0.2">
      <c r="A433" t="s">
        <v>442</v>
      </c>
      <c r="B433" t="s">
        <v>18</v>
      </c>
      <c r="C433">
        <v>7</v>
      </c>
      <c r="D433">
        <v>5</v>
      </c>
      <c r="E433" t="s">
        <v>19</v>
      </c>
      <c r="F433">
        <v>103.67</v>
      </c>
      <c r="H433" t="s">
        <v>42</v>
      </c>
      <c r="I433" t="s">
        <v>21</v>
      </c>
      <c r="J433" t="s">
        <v>25</v>
      </c>
      <c r="K433">
        <v>103.67</v>
      </c>
      <c r="L433" t="s">
        <v>16</v>
      </c>
      <c r="M433" t="s">
        <v>16</v>
      </c>
      <c r="N433" t="s">
        <v>922</v>
      </c>
      <c r="O433">
        <f>_xlfn.XLOOKUP(customer_satisfaction_cleaned[[#This Row],[Product Category]],Table2[Product Category],Table2[Delivery SLA (Days)],"NA",0)</f>
        <v>10</v>
      </c>
      <c r="P4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4" spans="1:16" x14ac:dyDescent="0.2">
      <c r="A434" t="s">
        <v>443</v>
      </c>
      <c r="B434" t="s">
        <v>12</v>
      </c>
      <c r="C434">
        <v>4</v>
      </c>
      <c r="D434">
        <v>6</v>
      </c>
      <c r="E434" t="s">
        <v>32</v>
      </c>
      <c r="F434">
        <v>85.99</v>
      </c>
      <c r="G434">
        <v>48</v>
      </c>
      <c r="H434" t="s">
        <v>44</v>
      </c>
      <c r="I434" t="s">
        <v>13</v>
      </c>
      <c r="J434" t="s">
        <v>20</v>
      </c>
      <c r="K434">
        <v>85.99</v>
      </c>
      <c r="L434" t="s">
        <v>16</v>
      </c>
      <c r="M434" t="s">
        <v>16</v>
      </c>
      <c r="N434" t="s">
        <v>923</v>
      </c>
      <c r="O434">
        <f>_xlfn.XLOOKUP(customer_satisfaction_cleaned[[#This Row],[Product Category]],Table2[Product Category],Table2[Delivery SLA (Days)],"NA",0)</f>
        <v>5</v>
      </c>
      <c r="P4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35" spans="1:16" x14ac:dyDescent="0.2">
      <c r="A435" t="s">
        <v>444</v>
      </c>
      <c r="B435" t="s">
        <v>47</v>
      </c>
      <c r="C435">
        <v>9</v>
      </c>
      <c r="D435">
        <v>6</v>
      </c>
      <c r="E435" t="s">
        <v>19</v>
      </c>
      <c r="F435">
        <v>74</v>
      </c>
      <c r="G435">
        <v>19</v>
      </c>
      <c r="H435" t="s">
        <v>20</v>
      </c>
      <c r="I435" t="s">
        <v>21</v>
      </c>
      <c r="J435" t="s">
        <v>20</v>
      </c>
      <c r="K435">
        <v>74</v>
      </c>
      <c r="L435" t="s">
        <v>16</v>
      </c>
      <c r="M435" t="s">
        <v>16</v>
      </c>
      <c r="N435" t="s">
        <v>924</v>
      </c>
      <c r="O435">
        <f>_xlfn.XLOOKUP(customer_satisfaction_cleaned[[#This Row],[Product Category]],Table2[Product Category],Table2[Delivery SLA (Days)],"NA",0)</f>
        <v>7</v>
      </c>
      <c r="P4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6" spans="1:16" x14ac:dyDescent="0.2">
      <c r="A436" t="s">
        <v>445</v>
      </c>
      <c r="B436" t="s">
        <v>12</v>
      </c>
      <c r="C436">
        <v>9</v>
      </c>
      <c r="D436">
        <v>8</v>
      </c>
      <c r="E436" t="s">
        <v>21</v>
      </c>
      <c r="F436">
        <v>80.900000000000006</v>
      </c>
      <c r="G436">
        <v>50</v>
      </c>
      <c r="H436" t="s">
        <v>29</v>
      </c>
      <c r="I436" t="s">
        <v>21</v>
      </c>
      <c r="J436" t="s">
        <v>25</v>
      </c>
      <c r="K436">
        <v>80.900000000000006</v>
      </c>
      <c r="L436" t="s">
        <v>16</v>
      </c>
      <c r="M436" t="s">
        <v>16</v>
      </c>
      <c r="N436" t="s">
        <v>923</v>
      </c>
      <c r="O436">
        <f>_xlfn.XLOOKUP(customer_satisfaction_cleaned[[#This Row],[Product Category]],Table2[Product Category],Table2[Delivery SLA (Days)],"NA",0)</f>
        <v>5</v>
      </c>
      <c r="P4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37" spans="1:16" x14ac:dyDescent="0.2">
      <c r="A437" t="s">
        <v>446</v>
      </c>
      <c r="B437" t="s">
        <v>12</v>
      </c>
      <c r="C437">
        <v>5</v>
      </c>
      <c r="D437">
        <v>7</v>
      </c>
      <c r="E437" t="s">
        <v>19</v>
      </c>
      <c r="F437">
        <v>0.73</v>
      </c>
      <c r="G437">
        <v>36</v>
      </c>
      <c r="H437" t="s">
        <v>15</v>
      </c>
      <c r="I437" t="s">
        <v>21</v>
      </c>
      <c r="J437" t="s">
        <v>15</v>
      </c>
      <c r="K437">
        <v>0.73</v>
      </c>
      <c r="L437" t="s">
        <v>16</v>
      </c>
      <c r="M437" t="s">
        <v>16</v>
      </c>
      <c r="N437" t="s">
        <v>923</v>
      </c>
      <c r="O437">
        <f>_xlfn.XLOOKUP(customer_satisfaction_cleaned[[#This Row],[Product Category]],Table2[Product Category],Table2[Delivery SLA (Days)],"NA",0)</f>
        <v>5</v>
      </c>
      <c r="P4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38" spans="1:16" x14ac:dyDescent="0.2">
      <c r="A438" t="s">
        <v>447</v>
      </c>
      <c r="B438" t="s">
        <v>18</v>
      </c>
      <c r="C438">
        <v>7</v>
      </c>
      <c r="D438">
        <v>6</v>
      </c>
      <c r="E438" t="s">
        <v>21</v>
      </c>
      <c r="F438">
        <v>98.87</v>
      </c>
      <c r="G438">
        <v>12</v>
      </c>
      <c r="H438" t="s">
        <v>24</v>
      </c>
      <c r="I438" t="s">
        <v>21</v>
      </c>
      <c r="J438" t="s">
        <v>25</v>
      </c>
      <c r="K438">
        <v>98.87</v>
      </c>
      <c r="L438" t="s">
        <v>16</v>
      </c>
      <c r="M438" t="s">
        <v>16</v>
      </c>
      <c r="N438" t="s">
        <v>926</v>
      </c>
      <c r="O438">
        <f>_xlfn.XLOOKUP(customer_satisfaction_cleaned[[#This Row],[Product Category]],Table2[Product Category],Table2[Delivery SLA (Days)],"NA",0)</f>
        <v>10</v>
      </c>
      <c r="P4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9" spans="1:16" x14ac:dyDescent="0.2">
      <c r="A439" t="s">
        <v>448</v>
      </c>
      <c r="B439" t="s">
        <v>23</v>
      </c>
      <c r="C439">
        <v>8</v>
      </c>
      <c r="D439">
        <v>5</v>
      </c>
      <c r="E439" t="s">
        <v>29</v>
      </c>
      <c r="F439">
        <v>120.54</v>
      </c>
      <c r="G439">
        <v>53</v>
      </c>
      <c r="H439" t="s">
        <v>34</v>
      </c>
      <c r="I439" t="s">
        <v>25</v>
      </c>
      <c r="J439" t="s">
        <v>25</v>
      </c>
      <c r="K439">
        <v>120.54</v>
      </c>
      <c r="L439" t="s">
        <v>16</v>
      </c>
      <c r="M439" t="s">
        <v>16</v>
      </c>
      <c r="N439" t="s">
        <v>923</v>
      </c>
      <c r="O439">
        <f>_xlfn.XLOOKUP(customer_satisfaction_cleaned[[#This Row],[Product Category]],Table2[Product Category],Table2[Delivery SLA (Days)],"NA",0)</f>
        <v>7</v>
      </c>
      <c r="P4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0" spans="1:16" x14ac:dyDescent="0.2">
      <c r="A440" t="s">
        <v>449</v>
      </c>
      <c r="B440" t="s">
        <v>18</v>
      </c>
      <c r="C440">
        <v>6</v>
      </c>
      <c r="D440">
        <v>5</v>
      </c>
      <c r="E440" t="s">
        <v>21</v>
      </c>
      <c r="F440">
        <v>98.42</v>
      </c>
      <c r="G440">
        <v>23</v>
      </c>
      <c r="H440" t="s">
        <v>14</v>
      </c>
      <c r="I440" t="s">
        <v>21</v>
      </c>
      <c r="J440" t="s">
        <v>15</v>
      </c>
      <c r="K440">
        <v>98.42</v>
      </c>
      <c r="L440" t="s">
        <v>16</v>
      </c>
      <c r="M440" t="s">
        <v>16</v>
      </c>
      <c r="N440" t="s">
        <v>924</v>
      </c>
      <c r="O440">
        <f>_xlfn.XLOOKUP(customer_satisfaction_cleaned[[#This Row],[Product Category]],Table2[Product Category],Table2[Delivery SLA (Days)],"NA",0)</f>
        <v>10</v>
      </c>
      <c r="P4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1" spans="1:16" x14ac:dyDescent="0.2">
      <c r="A441" t="s">
        <v>450</v>
      </c>
      <c r="B441" t="s">
        <v>23</v>
      </c>
      <c r="C441">
        <v>9</v>
      </c>
      <c r="D441">
        <v>9</v>
      </c>
      <c r="E441" t="s">
        <v>13</v>
      </c>
      <c r="F441">
        <v>61.99</v>
      </c>
      <c r="G441">
        <v>49</v>
      </c>
      <c r="H441" t="s">
        <v>42</v>
      </c>
      <c r="I441" t="s">
        <v>13</v>
      </c>
      <c r="J441" t="s">
        <v>25</v>
      </c>
      <c r="K441">
        <v>61.99</v>
      </c>
      <c r="L441" t="s">
        <v>16</v>
      </c>
      <c r="M441" t="s">
        <v>16</v>
      </c>
      <c r="N441" t="s">
        <v>923</v>
      </c>
      <c r="O441">
        <f>_xlfn.XLOOKUP(customer_satisfaction_cleaned[[#This Row],[Product Category]],Table2[Product Category],Table2[Delivery SLA (Days)],"NA",0)</f>
        <v>7</v>
      </c>
      <c r="P4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42" spans="1:16" x14ac:dyDescent="0.2">
      <c r="A442" t="s">
        <v>451</v>
      </c>
      <c r="B442" t="s">
        <v>36</v>
      </c>
      <c r="C442">
        <v>12</v>
      </c>
      <c r="D442">
        <v>3</v>
      </c>
      <c r="E442" t="s">
        <v>13</v>
      </c>
      <c r="F442">
        <v>103.79</v>
      </c>
      <c r="G442">
        <v>15</v>
      </c>
      <c r="H442" t="s">
        <v>15</v>
      </c>
      <c r="I442" t="s">
        <v>13</v>
      </c>
      <c r="J442" t="s">
        <v>15</v>
      </c>
      <c r="K442">
        <v>103.79</v>
      </c>
      <c r="L442" t="s">
        <v>16</v>
      </c>
      <c r="M442" t="s">
        <v>16</v>
      </c>
      <c r="N442" t="s">
        <v>924</v>
      </c>
      <c r="O442" t="str">
        <f>_xlfn.XLOOKUP(customer_satisfaction_cleaned[[#This Row],[Product Category]],Table2[Product Category],Table2[Delivery SLA (Days)],"NA",0)</f>
        <v>NA</v>
      </c>
      <c r="P4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43" spans="1:16" x14ac:dyDescent="0.2">
      <c r="A443" t="s">
        <v>452</v>
      </c>
      <c r="B443" t="s">
        <v>12</v>
      </c>
      <c r="C443">
        <v>7</v>
      </c>
      <c r="D443">
        <v>5</v>
      </c>
      <c r="E443" t="s">
        <v>13</v>
      </c>
      <c r="F443">
        <v>150.22</v>
      </c>
      <c r="G443">
        <v>22</v>
      </c>
      <c r="H443" t="s">
        <v>29</v>
      </c>
      <c r="I443" t="s">
        <v>13</v>
      </c>
      <c r="J443" t="s">
        <v>25</v>
      </c>
      <c r="K443">
        <v>150.22</v>
      </c>
      <c r="L443" t="s">
        <v>16</v>
      </c>
      <c r="M443" t="s">
        <v>16</v>
      </c>
      <c r="N443" t="s">
        <v>924</v>
      </c>
      <c r="O443">
        <f>_xlfn.XLOOKUP(customer_satisfaction_cleaned[[#This Row],[Product Category]],Table2[Product Category],Table2[Delivery SLA (Days)],"NA",0)</f>
        <v>5</v>
      </c>
      <c r="P4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4" spans="1:16" x14ac:dyDescent="0.2">
      <c r="A444" t="s">
        <v>453</v>
      </c>
      <c r="B444" t="s">
        <v>47</v>
      </c>
      <c r="C444">
        <v>6</v>
      </c>
      <c r="D444">
        <v>3</v>
      </c>
      <c r="E444" t="s">
        <v>21</v>
      </c>
      <c r="F444">
        <v>111.07</v>
      </c>
      <c r="G444">
        <v>54</v>
      </c>
      <c r="H444" t="s">
        <v>15</v>
      </c>
      <c r="I444" t="s">
        <v>21</v>
      </c>
      <c r="J444" t="s">
        <v>15</v>
      </c>
      <c r="K444">
        <v>111.07</v>
      </c>
      <c r="L444" t="s">
        <v>16</v>
      </c>
      <c r="M444" t="s">
        <v>16</v>
      </c>
      <c r="N444" t="s">
        <v>923</v>
      </c>
      <c r="O444">
        <f>_xlfn.XLOOKUP(customer_satisfaction_cleaned[[#This Row],[Product Category]],Table2[Product Category],Table2[Delivery SLA (Days)],"NA",0)</f>
        <v>7</v>
      </c>
      <c r="P4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5" spans="1:16" x14ac:dyDescent="0.2">
      <c r="A445" t="s">
        <v>454</v>
      </c>
      <c r="B445" t="s">
        <v>23</v>
      </c>
      <c r="C445">
        <v>7</v>
      </c>
      <c r="D445">
        <v>4</v>
      </c>
      <c r="E445" t="s">
        <v>13</v>
      </c>
      <c r="F445">
        <v>120.61</v>
      </c>
      <c r="G445">
        <v>40</v>
      </c>
      <c r="H445" t="s">
        <v>20</v>
      </c>
      <c r="I445" t="s">
        <v>13</v>
      </c>
      <c r="J445" t="s">
        <v>20</v>
      </c>
      <c r="K445">
        <v>120.61</v>
      </c>
      <c r="L445" t="s">
        <v>16</v>
      </c>
      <c r="M445" t="s">
        <v>16</v>
      </c>
      <c r="N445" t="s">
        <v>923</v>
      </c>
      <c r="O445">
        <f>_xlfn.XLOOKUP(customer_satisfaction_cleaned[[#This Row],[Product Category]],Table2[Product Category],Table2[Delivery SLA (Days)],"NA",0)</f>
        <v>7</v>
      </c>
      <c r="P4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6" spans="1:16" x14ac:dyDescent="0.2">
      <c r="A446" t="s">
        <v>455</v>
      </c>
      <c r="B446" t="s">
        <v>47</v>
      </c>
      <c r="C446">
        <v>6</v>
      </c>
      <c r="D446">
        <v>4</v>
      </c>
      <c r="E446" t="s">
        <v>21</v>
      </c>
      <c r="F446">
        <v>7563</v>
      </c>
      <c r="G446">
        <v>33</v>
      </c>
      <c r="H446" t="s">
        <v>29</v>
      </c>
      <c r="I446" t="s">
        <v>21</v>
      </c>
      <c r="J446" t="s">
        <v>25</v>
      </c>
      <c r="K446">
        <v>7563</v>
      </c>
      <c r="L446" t="s">
        <v>16</v>
      </c>
      <c r="M446" t="s">
        <v>16</v>
      </c>
      <c r="N446" t="s">
        <v>923</v>
      </c>
      <c r="O446">
        <f>_xlfn.XLOOKUP(customer_satisfaction_cleaned[[#This Row],[Product Category]],Table2[Product Category],Table2[Delivery SLA (Days)],"NA",0)</f>
        <v>7</v>
      </c>
      <c r="P4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7" spans="1:16" x14ac:dyDescent="0.2">
      <c r="A447" t="s">
        <v>456</v>
      </c>
      <c r="B447" t="s">
        <v>47</v>
      </c>
      <c r="C447">
        <v>10</v>
      </c>
      <c r="D447">
        <v>8</v>
      </c>
      <c r="E447" t="s">
        <v>21</v>
      </c>
      <c r="F447">
        <v>111.47</v>
      </c>
      <c r="G447">
        <v>44</v>
      </c>
      <c r="H447" t="s">
        <v>44</v>
      </c>
      <c r="I447" t="s">
        <v>21</v>
      </c>
      <c r="J447" t="s">
        <v>20</v>
      </c>
      <c r="K447">
        <v>111.47</v>
      </c>
      <c r="L447" t="s">
        <v>16</v>
      </c>
      <c r="M447" t="s">
        <v>16</v>
      </c>
      <c r="N447" t="s">
        <v>923</v>
      </c>
      <c r="O447">
        <f>_xlfn.XLOOKUP(customer_satisfaction_cleaned[[#This Row],[Product Category]],Table2[Product Category],Table2[Delivery SLA (Days)],"NA",0)</f>
        <v>7</v>
      </c>
      <c r="P4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48" spans="1:16" x14ac:dyDescent="0.2">
      <c r="A448" t="s">
        <v>457</v>
      </c>
      <c r="B448" t="s">
        <v>18</v>
      </c>
      <c r="C448">
        <v>7</v>
      </c>
      <c r="D448">
        <v>8</v>
      </c>
      <c r="E448" t="s">
        <v>19</v>
      </c>
      <c r="F448">
        <v>150.22999999999999</v>
      </c>
      <c r="G448">
        <v>46</v>
      </c>
      <c r="H448" t="s">
        <v>34</v>
      </c>
      <c r="I448" t="s">
        <v>21</v>
      </c>
      <c r="J448" t="s">
        <v>25</v>
      </c>
      <c r="K448">
        <v>150.22999999999999</v>
      </c>
      <c r="L448" t="s">
        <v>16</v>
      </c>
      <c r="M448" t="s">
        <v>16</v>
      </c>
      <c r="N448" t="s">
        <v>923</v>
      </c>
      <c r="O448">
        <f>_xlfn.XLOOKUP(customer_satisfaction_cleaned[[#This Row],[Product Category]],Table2[Product Category],Table2[Delivery SLA (Days)],"NA",0)</f>
        <v>10</v>
      </c>
      <c r="P4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9" spans="1:16" x14ac:dyDescent="0.2">
      <c r="A449" t="s">
        <v>458</v>
      </c>
      <c r="B449" t="s">
        <v>18</v>
      </c>
      <c r="C449">
        <v>3</v>
      </c>
      <c r="D449">
        <v>4</v>
      </c>
      <c r="E449" t="s">
        <v>21</v>
      </c>
      <c r="F449">
        <v>55.33</v>
      </c>
      <c r="G449">
        <v>32</v>
      </c>
      <c r="H449" t="s">
        <v>14</v>
      </c>
      <c r="I449" t="s">
        <v>21</v>
      </c>
      <c r="J449" t="s">
        <v>15</v>
      </c>
      <c r="K449">
        <v>55.33</v>
      </c>
      <c r="L449" t="s">
        <v>16</v>
      </c>
      <c r="M449" t="s">
        <v>16</v>
      </c>
      <c r="N449" t="s">
        <v>923</v>
      </c>
      <c r="O449">
        <f>_xlfn.XLOOKUP(customer_satisfaction_cleaned[[#This Row],[Product Category]],Table2[Product Category],Table2[Delivery SLA (Days)],"NA",0)</f>
        <v>10</v>
      </c>
      <c r="P4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0" spans="1:16" x14ac:dyDescent="0.2">
      <c r="A450" t="s">
        <v>459</v>
      </c>
      <c r="B450" t="s">
        <v>18</v>
      </c>
      <c r="C450">
        <v>6</v>
      </c>
      <c r="D450">
        <v>4</v>
      </c>
      <c r="E450" t="s">
        <v>19</v>
      </c>
      <c r="F450">
        <v>104.56</v>
      </c>
      <c r="G450">
        <v>53</v>
      </c>
      <c r="H450" t="s">
        <v>20</v>
      </c>
      <c r="I450" t="s">
        <v>21</v>
      </c>
      <c r="J450" t="s">
        <v>20</v>
      </c>
      <c r="K450">
        <v>104.56</v>
      </c>
      <c r="L450" t="s">
        <v>16</v>
      </c>
      <c r="M450" t="s">
        <v>16</v>
      </c>
      <c r="N450" t="s">
        <v>923</v>
      </c>
      <c r="O450">
        <f>_xlfn.XLOOKUP(customer_satisfaction_cleaned[[#This Row],[Product Category]],Table2[Product Category],Table2[Delivery SLA (Days)],"NA",0)</f>
        <v>10</v>
      </c>
      <c r="P4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1" spans="1:16" x14ac:dyDescent="0.2">
      <c r="A451" t="s">
        <v>460</v>
      </c>
      <c r="B451" t="s">
        <v>47</v>
      </c>
      <c r="D451">
        <v>8</v>
      </c>
      <c r="E451" t="s">
        <v>13</v>
      </c>
      <c r="F451">
        <v>85.2</v>
      </c>
      <c r="G451">
        <v>56</v>
      </c>
      <c r="H451" t="s">
        <v>29</v>
      </c>
      <c r="I451" t="s">
        <v>13</v>
      </c>
      <c r="J451" t="s">
        <v>25</v>
      </c>
      <c r="K451">
        <v>85.2</v>
      </c>
      <c r="L451" t="s">
        <v>936</v>
      </c>
      <c r="M451" t="s">
        <v>16</v>
      </c>
      <c r="N451" t="s">
        <v>923</v>
      </c>
      <c r="O451">
        <f>_xlfn.XLOOKUP(customer_satisfaction_cleaned[[#This Row],[Product Category]],Table2[Product Category],Table2[Delivery SLA (Days)],"NA",0)</f>
        <v>7</v>
      </c>
      <c r="P4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52" spans="1:16" x14ac:dyDescent="0.2">
      <c r="A452" t="s">
        <v>461</v>
      </c>
      <c r="B452" t="s">
        <v>23</v>
      </c>
      <c r="C452">
        <v>4</v>
      </c>
      <c r="E452" t="s">
        <v>21</v>
      </c>
      <c r="F452">
        <v>176.69</v>
      </c>
      <c r="G452">
        <v>18</v>
      </c>
      <c r="H452" t="s">
        <v>20</v>
      </c>
      <c r="I452" t="s">
        <v>21</v>
      </c>
      <c r="J452" t="s">
        <v>20</v>
      </c>
      <c r="K452">
        <v>176.69</v>
      </c>
      <c r="L452" t="s">
        <v>16</v>
      </c>
      <c r="M452" t="s">
        <v>937</v>
      </c>
      <c r="N452" t="s">
        <v>924</v>
      </c>
      <c r="O452">
        <f>_xlfn.XLOOKUP(customer_satisfaction_cleaned[[#This Row],[Product Category]],Table2[Product Category],Table2[Delivery SLA (Days)],"NA",0)</f>
        <v>7</v>
      </c>
      <c r="P4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53" spans="1:16" x14ac:dyDescent="0.2">
      <c r="A453" t="s">
        <v>17</v>
      </c>
      <c r="B453" t="s">
        <v>18</v>
      </c>
      <c r="C453">
        <v>5</v>
      </c>
      <c r="D453">
        <v>4</v>
      </c>
      <c r="E453" t="s">
        <v>29</v>
      </c>
      <c r="F453">
        <v>95.92</v>
      </c>
      <c r="G453">
        <v>56</v>
      </c>
      <c r="H453" t="s">
        <v>42</v>
      </c>
      <c r="I453" t="s">
        <v>25</v>
      </c>
      <c r="J453" t="s">
        <v>25</v>
      </c>
      <c r="K453">
        <v>95.92</v>
      </c>
      <c r="L453" t="s">
        <v>16</v>
      </c>
      <c r="M453" t="s">
        <v>16</v>
      </c>
      <c r="N453" t="s">
        <v>923</v>
      </c>
      <c r="O453">
        <f>_xlfn.XLOOKUP(customer_satisfaction_cleaned[[#This Row],[Product Category]],Table2[Product Category],Table2[Delivery SLA (Days)],"NA",0)</f>
        <v>10</v>
      </c>
      <c r="P4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4" spans="1:16" x14ac:dyDescent="0.2">
      <c r="A454" t="s">
        <v>462</v>
      </c>
      <c r="B454" t="s">
        <v>18</v>
      </c>
      <c r="C454">
        <v>8</v>
      </c>
      <c r="D454">
        <v>6</v>
      </c>
      <c r="E454" t="s">
        <v>19</v>
      </c>
      <c r="F454">
        <v>142.63</v>
      </c>
      <c r="G454">
        <v>59</v>
      </c>
      <c r="H454" t="s">
        <v>34</v>
      </c>
      <c r="I454" t="s">
        <v>21</v>
      </c>
      <c r="J454" t="s">
        <v>25</v>
      </c>
      <c r="K454">
        <v>142.63</v>
      </c>
      <c r="L454" t="s">
        <v>16</v>
      </c>
      <c r="M454" t="s">
        <v>16</v>
      </c>
      <c r="N454" t="s">
        <v>923</v>
      </c>
      <c r="O454">
        <f>_xlfn.XLOOKUP(customer_satisfaction_cleaned[[#This Row],[Product Category]],Table2[Product Category],Table2[Delivery SLA (Days)],"NA",0)</f>
        <v>10</v>
      </c>
      <c r="P4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5" spans="1:16" x14ac:dyDescent="0.2">
      <c r="A455" t="s">
        <v>463</v>
      </c>
      <c r="B455" t="s">
        <v>47</v>
      </c>
      <c r="C455">
        <v>7</v>
      </c>
      <c r="D455">
        <v>7</v>
      </c>
      <c r="E455" t="s">
        <v>13</v>
      </c>
      <c r="F455">
        <v>51.87</v>
      </c>
      <c r="G455">
        <v>20</v>
      </c>
      <c r="H455" t="s">
        <v>42</v>
      </c>
      <c r="I455" t="s">
        <v>13</v>
      </c>
      <c r="J455" t="s">
        <v>25</v>
      </c>
      <c r="K455">
        <v>51.87</v>
      </c>
      <c r="L455" t="s">
        <v>16</v>
      </c>
      <c r="M455" t="s">
        <v>16</v>
      </c>
      <c r="N455" t="s">
        <v>924</v>
      </c>
      <c r="O455">
        <f>_xlfn.XLOOKUP(customer_satisfaction_cleaned[[#This Row],[Product Category]],Table2[Product Category],Table2[Delivery SLA (Days)],"NA",0)</f>
        <v>7</v>
      </c>
      <c r="P4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6" spans="1:16" x14ac:dyDescent="0.2">
      <c r="A456" t="s">
        <v>464</v>
      </c>
      <c r="B456" t="s">
        <v>23</v>
      </c>
      <c r="C456">
        <v>9</v>
      </c>
      <c r="D456">
        <v>5</v>
      </c>
      <c r="E456" t="s">
        <v>29</v>
      </c>
      <c r="F456">
        <v>197.56</v>
      </c>
      <c r="H456" t="s">
        <v>20</v>
      </c>
      <c r="I456" t="s">
        <v>25</v>
      </c>
      <c r="J456" t="s">
        <v>20</v>
      </c>
      <c r="K456">
        <v>197.56</v>
      </c>
      <c r="L456" t="s">
        <v>16</v>
      </c>
      <c r="M456" t="s">
        <v>16</v>
      </c>
      <c r="N456" t="s">
        <v>922</v>
      </c>
      <c r="O456">
        <f>_xlfn.XLOOKUP(customer_satisfaction_cleaned[[#This Row],[Product Category]],Table2[Product Category],Table2[Delivery SLA (Days)],"NA",0)</f>
        <v>7</v>
      </c>
      <c r="P4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7" spans="1:16" x14ac:dyDescent="0.2">
      <c r="A457" t="s">
        <v>465</v>
      </c>
      <c r="B457" t="s">
        <v>12</v>
      </c>
      <c r="C457">
        <v>5</v>
      </c>
      <c r="D457">
        <v>2</v>
      </c>
      <c r="E457" t="s">
        <v>13</v>
      </c>
      <c r="F457">
        <v>71.91</v>
      </c>
      <c r="G457">
        <v>47</v>
      </c>
      <c r="H457" t="s">
        <v>42</v>
      </c>
      <c r="I457" t="s">
        <v>13</v>
      </c>
      <c r="J457" t="s">
        <v>25</v>
      </c>
      <c r="K457">
        <v>71.91</v>
      </c>
      <c r="L457" t="s">
        <v>16</v>
      </c>
      <c r="M457" t="s">
        <v>16</v>
      </c>
      <c r="N457" t="s">
        <v>923</v>
      </c>
      <c r="O457">
        <f>_xlfn.XLOOKUP(customer_satisfaction_cleaned[[#This Row],[Product Category]],Table2[Product Category],Table2[Delivery SLA (Days)],"NA",0)</f>
        <v>5</v>
      </c>
      <c r="P4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8" spans="1:16" x14ac:dyDescent="0.2">
      <c r="A458" t="s">
        <v>466</v>
      </c>
      <c r="B458" t="s">
        <v>23</v>
      </c>
      <c r="C458">
        <v>6</v>
      </c>
      <c r="D458">
        <v>7</v>
      </c>
      <c r="E458" t="s">
        <v>21</v>
      </c>
      <c r="F458">
        <v>97.24</v>
      </c>
      <c r="G458">
        <v>26</v>
      </c>
      <c r="H458" t="s">
        <v>15</v>
      </c>
      <c r="I458" t="s">
        <v>21</v>
      </c>
      <c r="J458" t="s">
        <v>15</v>
      </c>
      <c r="K458">
        <v>97.24</v>
      </c>
      <c r="L458" t="s">
        <v>16</v>
      </c>
      <c r="M458" t="s">
        <v>16</v>
      </c>
      <c r="N458" t="s">
        <v>924</v>
      </c>
      <c r="O458">
        <f>_xlfn.XLOOKUP(customer_satisfaction_cleaned[[#This Row],[Product Category]],Table2[Product Category],Table2[Delivery SLA (Days)],"NA",0)</f>
        <v>7</v>
      </c>
      <c r="P4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9" spans="1:16" x14ac:dyDescent="0.2">
      <c r="A459" t="s">
        <v>467</v>
      </c>
      <c r="B459" t="s">
        <v>47</v>
      </c>
      <c r="C459">
        <v>5</v>
      </c>
      <c r="D459">
        <v>9</v>
      </c>
      <c r="E459" t="s">
        <v>13</v>
      </c>
      <c r="F459">
        <v>110.49</v>
      </c>
      <c r="G459">
        <v>43</v>
      </c>
      <c r="H459" t="s">
        <v>29</v>
      </c>
      <c r="I459" t="s">
        <v>13</v>
      </c>
      <c r="J459" t="s">
        <v>25</v>
      </c>
      <c r="K459">
        <v>110.49</v>
      </c>
      <c r="L459" t="s">
        <v>16</v>
      </c>
      <c r="M459" t="s">
        <v>16</v>
      </c>
      <c r="N459" t="s">
        <v>923</v>
      </c>
      <c r="O459">
        <f>_xlfn.XLOOKUP(customer_satisfaction_cleaned[[#This Row],[Product Category]],Table2[Product Category],Table2[Delivery SLA (Days)],"NA",0)</f>
        <v>7</v>
      </c>
      <c r="P4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60" spans="1:16" x14ac:dyDescent="0.2">
      <c r="A460" t="s">
        <v>17</v>
      </c>
      <c r="B460" t="s">
        <v>18</v>
      </c>
      <c r="C460">
        <v>9</v>
      </c>
      <c r="D460">
        <v>3</v>
      </c>
      <c r="E460" t="s">
        <v>13</v>
      </c>
      <c r="F460">
        <v>70.37</v>
      </c>
      <c r="G460">
        <v>36</v>
      </c>
      <c r="H460" t="s">
        <v>15</v>
      </c>
      <c r="I460" t="s">
        <v>13</v>
      </c>
      <c r="J460" t="s">
        <v>15</v>
      </c>
      <c r="K460">
        <v>70.37</v>
      </c>
      <c r="L460" t="s">
        <v>16</v>
      </c>
      <c r="M460" t="s">
        <v>16</v>
      </c>
      <c r="N460" t="s">
        <v>923</v>
      </c>
      <c r="O460">
        <f>_xlfn.XLOOKUP(customer_satisfaction_cleaned[[#This Row],[Product Category]],Table2[Product Category],Table2[Delivery SLA (Days)],"NA",0)</f>
        <v>10</v>
      </c>
      <c r="P4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1" spans="1:16" x14ac:dyDescent="0.2">
      <c r="A461" t="s">
        <v>17</v>
      </c>
      <c r="B461" t="s">
        <v>23</v>
      </c>
      <c r="C461">
        <v>7</v>
      </c>
      <c r="D461">
        <v>7</v>
      </c>
      <c r="E461" t="s">
        <v>21</v>
      </c>
      <c r="F461">
        <v>64.27</v>
      </c>
      <c r="G461">
        <v>50</v>
      </c>
      <c r="H461" t="s">
        <v>42</v>
      </c>
      <c r="I461" t="s">
        <v>21</v>
      </c>
      <c r="J461" t="s">
        <v>25</v>
      </c>
      <c r="K461">
        <v>64.27</v>
      </c>
      <c r="L461" t="s">
        <v>16</v>
      </c>
      <c r="M461" t="s">
        <v>16</v>
      </c>
      <c r="N461" t="s">
        <v>923</v>
      </c>
      <c r="O461">
        <f>_xlfn.XLOOKUP(customer_satisfaction_cleaned[[#This Row],[Product Category]],Table2[Product Category],Table2[Delivery SLA (Days)],"NA",0)</f>
        <v>7</v>
      </c>
      <c r="P4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2" spans="1:16" x14ac:dyDescent="0.2">
      <c r="A462" t="s">
        <v>468</v>
      </c>
      <c r="B462" t="s">
        <v>12</v>
      </c>
      <c r="C462">
        <v>7</v>
      </c>
      <c r="D462">
        <v>4</v>
      </c>
      <c r="E462" t="s">
        <v>21</v>
      </c>
      <c r="F462">
        <v>142.28</v>
      </c>
      <c r="G462">
        <v>25</v>
      </c>
      <c r="H462" t="s">
        <v>24</v>
      </c>
      <c r="I462" t="s">
        <v>21</v>
      </c>
      <c r="J462" t="s">
        <v>25</v>
      </c>
      <c r="K462">
        <v>142.28</v>
      </c>
      <c r="L462" t="s">
        <v>16</v>
      </c>
      <c r="M462" t="s">
        <v>16</v>
      </c>
      <c r="N462" t="s">
        <v>924</v>
      </c>
      <c r="O462">
        <f>_xlfn.XLOOKUP(customer_satisfaction_cleaned[[#This Row],[Product Category]],Table2[Product Category],Table2[Delivery SLA (Days)],"NA",0)</f>
        <v>5</v>
      </c>
      <c r="P4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3" spans="1:16" x14ac:dyDescent="0.2">
      <c r="A463" t="s">
        <v>469</v>
      </c>
      <c r="B463" t="s">
        <v>12</v>
      </c>
      <c r="D463">
        <v>4</v>
      </c>
      <c r="E463" t="s">
        <v>32</v>
      </c>
      <c r="F463">
        <v>21.93</v>
      </c>
      <c r="G463">
        <v>48</v>
      </c>
      <c r="H463" t="s">
        <v>44</v>
      </c>
      <c r="I463" t="s">
        <v>13</v>
      </c>
      <c r="J463" t="s">
        <v>20</v>
      </c>
      <c r="K463">
        <v>21.93</v>
      </c>
      <c r="L463" t="s">
        <v>936</v>
      </c>
      <c r="M463" t="s">
        <v>16</v>
      </c>
      <c r="N463" t="s">
        <v>923</v>
      </c>
      <c r="O463">
        <f>_xlfn.XLOOKUP(customer_satisfaction_cleaned[[#This Row],[Product Category]],Table2[Product Category],Table2[Delivery SLA (Days)],"NA",0)</f>
        <v>5</v>
      </c>
      <c r="P4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4" spans="1:16" x14ac:dyDescent="0.2">
      <c r="A464" t="s">
        <v>470</v>
      </c>
      <c r="B464" t="s">
        <v>12</v>
      </c>
      <c r="C464">
        <v>10</v>
      </c>
      <c r="D464">
        <v>11</v>
      </c>
      <c r="E464" t="s">
        <v>19</v>
      </c>
      <c r="F464">
        <v>14.89</v>
      </c>
      <c r="G464">
        <v>32</v>
      </c>
      <c r="H464" t="s">
        <v>29</v>
      </c>
      <c r="I464" t="s">
        <v>21</v>
      </c>
      <c r="J464" t="s">
        <v>25</v>
      </c>
      <c r="K464">
        <v>14.89</v>
      </c>
      <c r="L464" t="s">
        <v>16</v>
      </c>
      <c r="M464" t="s">
        <v>16</v>
      </c>
      <c r="N464" t="s">
        <v>923</v>
      </c>
      <c r="O464">
        <f>_xlfn.XLOOKUP(customer_satisfaction_cleaned[[#This Row],[Product Category]],Table2[Product Category],Table2[Delivery SLA (Days)],"NA",0)</f>
        <v>5</v>
      </c>
      <c r="P4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65" spans="1:16" x14ac:dyDescent="0.2">
      <c r="A465" t="s">
        <v>471</v>
      </c>
      <c r="B465" t="s">
        <v>36</v>
      </c>
      <c r="C465">
        <v>6</v>
      </c>
      <c r="D465">
        <v>7</v>
      </c>
      <c r="E465" t="s">
        <v>19</v>
      </c>
      <c r="F465">
        <v>227.73</v>
      </c>
      <c r="G465">
        <v>29</v>
      </c>
      <c r="H465" t="s">
        <v>29</v>
      </c>
      <c r="I465" t="s">
        <v>21</v>
      </c>
      <c r="J465" t="s">
        <v>25</v>
      </c>
      <c r="K465">
        <v>227.73</v>
      </c>
      <c r="L465" t="s">
        <v>16</v>
      </c>
      <c r="M465" t="s">
        <v>16</v>
      </c>
      <c r="N465" t="s">
        <v>924</v>
      </c>
      <c r="O465" t="str">
        <f>_xlfn.XLOOKUP(customer_satisfaction_cleaned[[#This Row],[Product Category]],Table2[Product Category],Table2[Delivery SLA (Days)],"NA",0)</f>
        <v>NA</v>
      </c>
      <c r="P4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66" spans="1:16" x14ac:dyDescent="0.2">
      <c r="A466" t="s">
        <v>472</v>
      </c>
      <c r="B466" t="s">
        <v>12</v>
      </c>
      <c r="C466">
        <v>9</v>
      </c>
      <c r="D466">
        <v>3</v>
      </c>
      <c r="E466" t="s">
        <v>13</v>
      </c>
      <c r="F466">
        <v>74.39</v>
      </c>
      <c r="G466">
        <v>31</v>
      </c>
      <c r="H466" t="s">
        <v>14</v>
      </c>
      <c r="I466" t="s">
        <v>13</v>
      </c>
      <c r="J466" t="s">
        <v>15</v>
      </c>
      <c r="K466">
        <v>74.39</v>
      </c>
      <c r="L466" t="s">
        <v>16</v>
      </c>
      <c r="M466" t="s">
        <v>16</v>
      </c>
      <c r="N466" t="s">
        <v>923</v>
      </c>
      <c r="O466">
        <f>_xlfn.XLOOKUP(customer_satisfaction_cleaned[[#This Row],[Product Category]],Table2[Product Category],Table2[Delivery SLA (Days)],"NA",0)</f>
        <v>5</v>
      </c>
      <c r="P4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7" spans="1:16" x14ac:dyDescent="0.2">
      <c r="A467" t="s">
        <v>473</v>
      </c>
      <c r="B467" t="s">
        <v>12</v>
      </c>
      <c r="C467">
        <v>8</v>
      </c>
      <c r="D467">
        <v>7</v>
      </c>
      <c r="E467" t="s">
        <v>32</v>
      </c>
      <c r="F467">
        <v>136.61000000000001</v>
      </c>
      <c r="G467">
        <v>34</v>
      </c>
      <c r="H467" t="s">
        <v>34</v>
      </c>
      <c r="I467" t="s">
        <v>13</v>
      </c>
      <c r="J467" t="s">
        <v>25</v>
      </c>
      <c r="K467">
        <v>136.61000000000001</v>
      </c>
      <c r="L467" t="s">
        <v>16</v>
      </c>
      <c r="M467" t="s">
        <v>16</v>
      </c>
      <c r="N467" t="s">
        <v>923</v>
      </c>
      <c r="O467">
        <f>_xlfn.XLOOKUP(customer_satisfaction_cleaned[[#This Row],[Product Category]],Table2[Product Category],Table2[Delivery SLA (Days)],"NA",0)</f>
        <v>5</v>
      </c>
      <c r="P4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68" spans="1:16" x14ac:dyDescent="0.2">
      <c r="A468" t="s">
        <v>474</v>
      </c>
      <c r="B468" t="s">
        <v>12</v>
      </c>
      <c r="C468">
        <v>2</v>
      </c>
      <c r="D468">
        <v>4</v>
      </c>
      <c r="E468" t="s">
        <v>13</v>
      </c>
      <c r="F468">
        <v>96.59</v>
      </c>
      <c r="G468">
        <v>34</v>
      </c>
      <c r="H468" t="s">
        <v>14</v>
      </c>
      <c r="I468" t="s">
        <v>13</v>
      </c>
      <c r="J468" t="s">
        <v>15</v>
      </c>
      <c r="K468">
        <v>96.59</v>
      </c>
      <c r="L468" t="s">
        <v>16</v>
      </c>
      <c r="M468" t="s">
        <v>16</v>
      </c>
      <c r="N468" t="s">
        <v>923</v>
      </c>
      <c r="O468">
        <f>_xlfn.XLOOKUP(customer_satisfaction_cleaned[[#This Row],[Product Category]],Table2[Product Category],Table2[Delivery SLA (Days)],"NA",0)</f>
        <v>5</v>
      </c>
      <c r="P4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9" spans="1:16" x14ac:dyDescent="0.2">
      <c r="A469" t="s">
        <v>475</v>
      </c>
      <c r="B469" t="s">
        <v>18</v>
      </c>
      <c r="C469">
        <v>8</v>
      </c>
      <c r="D469">
        <v>5</v>
      </c>
      <c r="E469" t="s">
        <v>21</v>
      </c>
      <c r="F469">
        <v>4263</v>
      </c>
      <c r="G469">
        <v>60</v>
      </c>
      <c r="H469" t="s">
        <v>24</v>
      </c>
      <c r="I469" t="s">
        <v>21</v>
      </c>
      <c r="J469" t="s">
        <v>25</v>
      </c>
      <c r="K469">
        <v>4263</v>
      </c>
      <c r="L469" t="s">
        <v>16</v>
      </c>
      <c r="M469" t="s">
        <v>16</v>
      </c>
      <c r="N469" t="s">
        <v>925</v>
      </c>
      <c r="O469">
        <f>_xlfn.XLOOKUP(customer_satisfaction_cleaned[[#This Row],[Product Category]],Table2[Product Category],Table2[Delivery SLA (Days)],"NA",0)</f>
        <v>10</v>
      </c>
      <c r="P4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0" spans="1:16" x14ac:dyDescent="0.2">
      <c r="A470" t="s">
        <v>476</v>
      </c>
      <c r="B470" t="s">
        <v>47</v>
      </c>
      <c r="C470">
        <v>7</v>
      </c>
      <c r="D470">
        <v>8</v>
      </c>
      <c r="E470" t="s">
        <v>21</v>
      </c>
      <c r="F470">
        <v>44.11</v>
      </c>
      <c r="G470">
        <v>8</v>
      </c>
      <c r="H470" t="s">
        <v>24</v>
      </c>
      <c r="I470" t="s">
        <v>21</v>
      </c>
      <c r="J470" t="s">
        <v>25</v>
      </c>
      <c r="K470">
        <v>44.11</v>
      </c>
      <c r="L470" t="s">
        <v>16</v>
      </c>
      <c r="M470" t="s">
        <v>16</v>
      </c>
      <c r="N470" t="s">
        <v>926</v>
      </c>
      <c r="O470">
        <f>_xlfn.XLOOKUP(customer_satisfaction_cleaned[[#This Row],[Product Category]],Table2[Product Category],Table2[Delivery SLA (Days)],"NA",0)</f>
        <v>7</v>
      </c>
      <c r="P4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71" spans="1:16" x14ac:dyDescent="0.2">
      <c r="A471" t="s">
        <v>477</v>
      </c>
      <c r="B471" t="s">
        <v>47</v>
      </c>
      <c r="C471">
        <v>8</v>
      </c>
      <c r="D471">
        <v>5</v>
      </c>
      <c r="E471" t="s">
        <v>13</v>
      </c>
      <c r="F471">
        <v>49.57</v>
      </c>
      <c r="G471">
        <v>54</v>
      </c>
      <c r="H471" t="s">
        <v>15</v>
      </c>
      <c r="I471" t="s">
        <v>13</v>
      </c>
      <c r="J471" t="s">
        <v>15</v>
      </c>
      <c r="K471">
        <v>49.57</v>
      </c>
      <c r="L471" t="s">
        <v>16</v>
      </c>
      <c r="M471" t="s">
        <v>16</v>
      </c>
      <c r="N471" t="s">
        <v>923</v>
      </c>
      <c r="O471">
        <f>_xlfn.XLOOKUP(customer_satisfaction_cleaned[[#This Row],[Product Category]],Table2[Product Category],Table2[Delivery SLA (Days)],"NA",0)</f>
        <v>7</v>
      </c>
      <c r="P4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2" spans="1:16" x14ac:dyDescent="0.2">
      <c r="A472" t="s">
        <v>478</v>
      </c>
      <c r="B472" t="s">
        <v>47</v>
      </c>
      <c r="C472">
        <v>9</v>
      </c>
      <c r="D472">
        <v>7</v>
      </c>
      <c r="E472" t="s">
        <v>13</v>
      </c>
      <c r="F472">
        <v>98.85</v>
      </c>
      <c r="G472">
        <v>26</v>
      </c>
      <c r="H472" t="s">
        <v>44</v>
      </c>
      <c r="I472" t="s">
        <v>13</v>
      </c>
      <c r="J472" t="s">
        <v>20</v>
      </c>
      <c r="K472">
        <v>98.85</v>
      </c>
      <c r="L472" t="s">
        <v>16</v>
      </c>
      <c r="M472" t="s">
        <v>16</v>
      </c>
      <c r="N472" t="s">
        <v>924</v>
      </c>
      <c r="O472">
        <f>_xlfn.XLOOKUP(customer_satisfaction_cleaned[[#This Row],[Product Category]],Table2[Product Category],Table2[Delivery SLA (Days)],"NA",0)</f>
        <v>7</v>
      </c>
      <c r="P4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3" spans="1:16" x14ac:dyDescent="0.2">
      <c r="A473" t="s">
        <v>479</v>
      </c>
      <c r="B473" t="s">
        <v>12</v>
      </c>
      <c r="C473">
        <v>8</v>
      </c>
      <c r="D473">
        <v>6</v>
      </c>
      <c r="E473" t="s">
        <v>21</v>
      </c>
      <c r="F473">
        <v>120.17</v>
      </c>
      <c r="G473">
        <v>30</v>
      </c>
      <c r="H473" t="s">
        <v>42</v>
      </c>
      <c r="I473" t="s">
        <v>21</v>
      </c>
      <c r="J473" t="s">
        <v>25</v>
      </c>
      <c r="K473">
        <v>120.17</v>
      </c>
      <c r="L473" t="s">
        <v>16</v>
      </c>
      <c r="M473" t="s">
        <v>16</v>
      </c>
      <c r="N473" t="s">
        <v>923</v>
      </c>
      <c r="O473">
        <f>_xlfn.XLOOKUP(customer_satisfaction_cleaned[[#This Row],[Product Category]],Table2[Product Category],Table2[Delivery SLA (Days)],"NA",0)</f>
        <v>5</v>
      </c>
      <c r="P4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74" spans="1:16" x14ac:dyDescent="0.2">
      <c r="A474" t="s">
        <v>480</v>
      </c>
      <c r="B474" t="s">
        <v>18</v>
      </c>
      <c r="C474">
        <v>4</v>
      </c>
      <c r="D474">
        <v>7</v>
      </c>
      <c r="E474" t="s">
        <v>21</v>
      </c>
      <c r="F474">
        <v>68.09</v>
      </c>
      <c r="G474">
        <v>41</v>
      </c>
      <c r="H474" t="s">
        <v>14</v>
      </c>
      <c r="I474" t="s">
        <v>21</v>
      </c>
      <c r="J474" t="s">
        <v>15</v>
      </c>
      <c r="K474">
        <v>68.09</v>
      </c>
      <c r="L474" t="s">
        <v>16</v>
      </c>
      <c r="M474" t="s">
        <v>16</v>
      </c>
      <c r="N474" t="s">
        <v>923</v>
      </c>
      <c r="O474">
        <f>_xlfn.XLOOKUP(customer_satisfaction_cleaned[[#This Row],[Product Category]],Table2[Product Category],Table2[Delivery SLA (Days)],"NA",0)</f>
        <v>10</v>
      </c>
      <c r="P4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5" spans="1:16" x14ac:dyDescent="0.2">
      <c r="A475" t="s">
        <v>481</v>
      </c>
      <c r="B475" t="s">
        <v>12</v>
      </c>
      <c r="C475">
        <v>6</v>
      </c>
      <c r="D475">
        <v>8</v>
      </c>
      <c r="E475" t="s">
        <v>32</v>
      </c>
      <c r="F475">
        <v>59.89</v>
      </c>
      <c r="G475">
        <v>32</v>
      </c>
      <c r="H475" t="s">
        <v>15</v>
      </c>
      <c r="I475" t="s">
        <v>13</v>
      </c>
      <c r="J475" t="s">
        <v>15</v>
      </c>
      <c r="K475">
        <v>59.89</v>
      </c>
      <c r="L475" t="s">
        <v>16</v>
      </c>
      <c r="M475" t="s">
        <v>16</v>
      </c>
      <c r="N475" t="s">
        <v>923</v>
      </c>
      <c r="O475">
        <f>_xlfn.XLOOKUP(customer_satisfaction_cleaned[[#This Row],[Product Category]],Table2[Product Category],Table2[Delivery SLA (Days)],"NA",0)</f>
        <v>5</v>
      </c>
      <c r="P4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76" spans="1:16" x14ac:dyDescent="0.2">
      <c r="A476" t="s">
        <v>482</v>
      </c>
      <c r="B476" t="s">
        <v>23</v>
      </c>
      <c r="C476">
        <v>7</v>
      </c>
      <c r="D476">
        <v>3</v>
      </c>
      <c r="E476" t="s">
        <v>21</v>
      </c>
      <c r="F476">
        <v>114.42</v>
      </c>
      <c r="H476" t="s">
        <v>34</v>
      </c>
      <c r="I476" t="s">
        <v>21</v>
      </c>
      <c r="J476" t="s">
        <v>25</v>
      </c>
      <c r="K476">
        <v>114.42</v>
      </c>
      <c r="L476" t="s">
        <v>16</v>
      </c>
      <c r="M476" t="s">
        <v>16</v>
      </c>
      <c r="N476" t="s">
        <v>922</v>
      </c>
      <c r="O476">
        <f>_xlfn.XLOOKUP(customer_satisfaction_cleaned[[#This Row],[Product Category]],Table2[Product Category],Table2[Delivery SLA (Days)],"NA",0)</f>
        <v>7</v>
      </c>
      <c r="P4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7" spans="1:16" x14ac:dyDescent="0.2">
      <c r="A477" t="s">
        <v>483</v>
      </c>
      <c r="B477" t="s">
        <v>23</v>
      </c>
      <c r="C477">
        <v>8</v>
      </c>
      <c r="D477">
        <v>8</v>
      </c>
      <c r="E477" t="s">
        <v>13</v>
      </c>
      <c r="F477">
        <v>98.66</v>
      </c>
      <c r="G477">
        <v>34</v>
      </c>
      <c r="H477" t="s">
        <v>20</v>
      </c>
      <c r="I477" t="s">
        <v>13</v>
      </c>
      <c r="J477" t="s">
        <v>20</v>
      </c>
      <c r="K477">
        <v>98.66</v>
      </c>
      <c r="L477" t="s">
        <v>16</v>
      </c>
      <c r="M477" t="s">
        <v>16</v>
      </c>
      <c r="N477" t="s">
        <v>923</v>
      </c>
      <c r="O477">
        <f>_xlfn.XLOOKUP(customer_satisfaction_cleaned[[#This Row],[Product Category]],Table2[Product Category],Table2[Delivery SLA (Days)],"NA",0)</f>
        <v>7</v>
      </c>
      <c r="P4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78" spans="1:16" x14ac:dyDescent="0.2">
      <c r="A478" t="s">
        <v>484</v>
      </c>
      <c r="B478" t="s">
        <v>18</v>
      </c>
      <c r="C478">
        <v>7</v>
      </c>
      <c r="D478">
        <v>4</v>
      </c>
      <c r="E478" t="s">
        <v>13</v>
      </c>
      <c r="F478">
        <v>145.99</v>
      </c>
      <c r="G478">
        <v>40</v>
      </c>
      <c r="H478" t="s">
        <v>42</v>
      </c>
      <c r="I478" t="s">
        <v>13</v>
      </c>
      <c r="J478" t="s">
        <v>25</v>
      </c>
      <c r="K478">
        <v>145.99</v>
      </c>
      <c r="L478" t="s">
        <v>16</v>
      </c>
      <c r="M478" t="s">
        <v>16</v>
      </c>
      <c r="N478" t="s">
        <v>923</v>
      </c>
      <c r="O478">
        <f>_xlfn.XLOOKUP(customer_satisfaction_cleaned[[#This Row],[Product Category]],Table2[Product Category],Table2[Delivery SLA (Days)],"NA",0)</f>
        <v>10</v>
      </c>
      <c r="P4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9" spans="1:16" x14ac:dyDescent="0.2">
      <c r="A479" t="s">
        <v>485</v>
      </c>
      <c r="B479" t="s">
        <v>12</v>
      </c>
      <c r="C479">
        <v>11</v>
      </c>
      <c r="D479">
        <v>5</v>
      </c>
      <c r="E479" t="s">
        <v>29</v>
      </c>
      <c r="F479">
        <v>45.58</v>
      </c>
      <c r="G479">
        <v>46</v>
      </c>
      <c r="H479" t="s">
        <v>14</v>
      </c>
      <c r="I479" t="s">
        <v>25</v>
      </c>
      <c r="J479" t="s">
        <v>15</v>
      </c>
      <c r="K479">
        <v>45.58</v>
      </c>
      <c r="L479" t="s">
        <v>16</v>
      </c>
      <c r="M479" t="s">
        <v>16</v>
      </c>
      <c r="N479" t="s">
        <v>923</v>
      </c>
      <c r="O479">
        <f>_xlfn.XLOOKUP(customer_satisfaction_cleaned[[#This Row],[Product Category]],Table2[Product Category],Table2[Delivery SLA (Days)],"NA",0)</f>
        <v>5</v>
      </c>
      <c r="P4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0" spans="1:16" x14ac:dyDescent="0.2">
      <c r="A480" t="s">
        <v>486</v>
      </c>
      <c r="B480" t="s">
        <v>47</v>
      </c>
      <c r="C480">
        <v>3</v>
      </c>
      <c r="D480">
        <v>6</v>
      </c>
      <c r="E480" t="s">
        <v>32</v>
      </c>
      <c r="F480">
        <v>107.59</v>
      </c>
      <c r="G480">
        <v>33</v>
      </c>
      <c r="H480" t="s">
        <v>15</v>
      </c>
      <c r="I480" t="s">
        <v>13</v>
      </c>
      <c r="J480" t="s">
        <v>15</v>
      </c>
      <c r="K480">
        <v>107.59</v>
      </c>
      <c r="L480" t="s">
        <v>16</v>
      </c>
      <c r="M480" t="s">
        <v>16</v>
      </c>
      <c r="N480" t="s">
        <v>923</v>
      </c>
      <c r="O480">
        <f>_xlfn.XLOOKUP(customer_satisfaction_cleaned[[#This Row],[Product Category]],Table2[Product Category],Table2[Delivery SLA (Days)],"NA",0)</f>
        <v>7</v>
      </c>
      <c r="P4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1" spans="1:16" x14ac:dyDescent="0.2">
      <c r="A481" t="s">
        <v>487</v>
      </c>
      <c r="B481" t="s">
        <v>47</v>
      </c>
      <c r="C481">
        <v>8</v>
      </c>
      <c r="E481" t="s">
        <v>21</v>
      </c>
      <c r="F481">
        <v>99.45</v>
      </c>
      <c r="H481" t="s">
        <v>24</v>
      </c>
      <c r="I481" t="s">
        <v>21</v>
      </c>
      <c r="J481" t="s">
        <v>25</v>
      </c>
      <c r="K481">
        <v>99.45</v>
      </c>
      <c r="L481" t="s">
        <v>16</v>
      </c>
      <c r="M481" t="s">
        <v>937</v>
      </c>
      <c r="N481" t="s">
        <v>922</v>
      </c>
      <c r="O481">
        <f>_xlfn.XLOOKUP(customer_satisfaction_cleaned[[#This Row],[Product Category]],Table2[Product Category],Table2[Delivery SLA (Days)],"NA",0)</f>
        <v>7</v>
      </c>
      <c r="P4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82" spans="1:16" x14ac:dyDescent="0.2">
      <c r="A482" t="s">
        <v>488</v>
      </c>
      <c r="B482" t="s">
        <v>47</v>
      </c>
      <c r="C482">
        <v>7</v>
      </c>
      <c r="D482">
        <v>8</v>
      </c>
      <c r="E482" t="s">
        <v>32</v>
      </c>
      <c r="F482">
        <v>166.01</v>
      </c>
      <c r="G482">
        <v>37</v>
      </c>
      <c r="H482" t="s">
        <v>24</v>
      </c>
      <c r="I482" t="s">
        <v>13</v>
      </c>
      <c r="J482" t="s">
        <v>25</v>
      </c>
      <c r="K482">
        <v>166.01</v>
      </c>
      <c r="L482" t="s">
        <v>16</v>
      </c>
      <c r="M482" t="s">
        <v>16</v>
      </c>
      <c r="N482" t="s">
        <v>923</v>
      </c>
      <c r="O482">
        <f>_xlfn.XLOOKUP(customer_satisfaction_cleaned[[#This Row],[Product Category]],Table2[Product Category],Table2[Delivery SLA (Days)],"NA",0)</f>
        <v>7</v>
      </c>
      <c r="P4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83" spans="1:16" x14ac:dyDescent="0.2">
      <c r="A483" t="s">
        <v>489</v>
      </c>
      <c r="B483" t="s">
        <v>47</v>
      </c>
      <c r="C483">
        <v>4</v>
      </c>
      <c r="D483">
        <v>7</v>
      </c>
      <c r="E483" t="s">
        <v>32</v>
      </c>
      <c r="F483">
        <v>187.34</v>
      </c>
      <c r="G483">
        <v>53</v>
      </c>
      <c r="H483" t="s">
        <v>44</v>
      </c>
      <c r="I483" t="s">
        <v>13</v>
      </c>
      <c r="J483" t="s">
        <v>20</v>
      </c>
      <c r="K483">
        <v>187.34</v>
      </c>
      <c r="L483" t="s">
        <v>16</v>
      </c>
      <c r="M483" t="s">
        <v>16</v>
      </c>
      <c r="N483" t="s">
        <v>923</v>
      </c>
      <c r="O483">
        <f>_xlfn.XLOOKUP(customer_satisfaction_cleaned[[#This Row],[Product Category]],Table2[Product Category],Table2[Delivery SLA (Days)],"NA",0)</f>
        <v>7</v>
      </c>
      <c r="P4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4" spans="1:16" x14ac:dyDescent="0.2">
      <c r="A484" t="s">
        <v>490</v>
      </c>
      <c r="B484" t="s">
        <v>36</v>
      </c>
      <c r="C484">
        <v>8</v>
      </c>
      <c r="D484">
        <v>4</v>
      </c>
      <c r="E484" t="s">
        <v>32</v>
      </c>
      <c r="F484">
        <v>70.03</v>
      </c>
      <c r="G484">
        <v>46</v>
      </c>
      <c r="H484" t="s">
        <v>29</v>
      </c>
      <c r="I484" t="s">
        <v>13</v>
      </c>
      <c r="J484" t="s">
        <v>25</v>
      </c>
      <c r="K484">
        <v>70.03</v>
      </c>
      <c r="L484" t="s">
        <v>16</v>
      </c>
      <c r="M484" t="s">
        <v>16</v>
      </c>
      <c r="N484" t="s">
        <v>923</v>
      </c>
      <c r="O484" t="str">
        <f>_xlfn.XLOOKUP(customer_satisfaction_cleaned[[#This Row],[Product Category]],Table2[Product Category],Table2[Delivery SLA (Days)],"NA",0)</f>
        <v>NA</v>
      </c>
      <c r="P4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85" spans="1:16" x14ac:dyDescent="0.2">
      <c r="A485" t="s">
        <v>491</v>
      </c>
      <c r="B485" t="s">
        <v>47</v>
      </c>
      <c r="C485">
        <v>3</v>
      </c>
      <c r="D485">
        <v>3</v>
      </c>
      <c r="E485" t="s">
        <v>13</v>
      </c>
      <c r="F485">
        <v>102.49</v>
      </c>
      <c r="G485">
        <v>22</v>
      </c>
      <c r="H485" t="s">
        <v>29</v>
      </c>
      <c r="I485" t="s">
        <v>13</v>
      </c>
      <c r="J485" t="s">
        <v>25</v>
      </c>
      <c r="K485">
        <v>102.49</v>
      </c>
      <c r="L485" t="s">
        <v>16</v>
      </c>
      <c r="M485" t="s">
        <v>16</v>
      </c>
      <c r="N485" t="s">
        <v>924</v>
      </c>
      <c r="O485">
        <f>_xlfn.XLOOKUP(customer_satisfaction_cleaned[[#This Row],[Product Category]],Table2[Product Category],Table2[Delivery SLA (Days)],"NA",0)</f>
        <v>7</v>
      </c>
      <c r="P4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6" spans="1:16" x14ac:dyDescent="0.2">
      <c r="A486" t="s">
        <v>492</v>
      </c>
      <c r="B486" t="s">
        <v>12</v>
      </c>
      <c r="C486">
        <v>3</v>
      </c>
      <c r="D486">
        <v>4</v>
      </c>
      <c r="E486" t="s">
        <v>13</v>
      </c>
      <c r="F486">
        <v>196.77</v>
      </c>
      <c r="H486" t="s">
        <v>24</v>
      </c>
      <c r="I486" t="s">
        <v>13</v>
      </c>
      <c r="J486" t="s">
        <v>25</v>
      </c>
      <c r="K486">
        <v>196.77</v>
      </c>
      <c r="L486" t="s">
        <v>16</v>
      </c>
      <c r="M486" t="s">
        <v>16</v>
      </c>
      <c r="N486" t="s">
        <v>922</v>
      </c>
      <c r="O486">
        <f>_xlfn.XLOOKUP(customer_satisfaction_cleaned[[#This Row],[Product Category]],Table2[Product Category],Table2[Delivery SLA (Days)],"NA",0)</f>
        <v>5</v>
      </c>
      <c r="P4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7" spans="1:16" x14ac:dyDescent="0.2">
      <c r="A487" t="s">
        <v>493</v>
      </c>
      <c r="B487" t="s">
        <v>12</v>
      </c>
      <c r="C487">
        <v>5</v>
      </c>
      <c r="D487">
        <v>4</v>
      </c>
      <c r="E487" t="s">
        <v>32</v>
      </c>
      <c r="F487">
        <v>51.08</v>
      </c>
      <c r="G487">
        <v>25</v>
      </c>
      <c r="H487" t="s">
        <v>44</v>
      </c>
      <c r="I487" t="s">
        <v>13</v>
      </c>
      <c r="J487" t="s">
        <v>20</v>
      </c>
      <c r="K487">
        <v>51.08</v>
      </c>
      <c r="L487" t="s">
        <v>16</v>
      </c>
      <c r="M487" t="s">
        <v>16</v>
      </c>
      <c r="N487" t="s">
        <v>924</v>
      </c>
      <c r="O487">
        <f>_xlfn.XLOOKUP(customer_satisfaction_cleaned[[#This Row],[Product Category]],Table2[Product Category],Table2[Delivery SLA (Days)],"NA",0)</f>
        <v>5</v>
      </c>
      <c r="P4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8" spans="1:16" x14ac:dyDescent="0.2">
      <c r="A488" t="s">
        <v>494</v>
      </c>
      <c r="B488" t="s">
        <v>12</v>
      </c>
      <c r="C488">
        <v>9</v>
      </c>
      <c r="E488" t="s">
        <v>29</v>
      </c>
      <c r="F488">
        <v>95.27</v>
      </c>
      <c r="G488">
        <v>52</v>
      </c>
      <c r="H488" t="s">
        <v>34</v>
      </c>
      <c r="I488" t="s">
        <v>25</v>
      </c>
      <c r="J488" t="s">
        <v>25</v>
      </c>
      <c r="K488">
        <v>95.27</v>
      </c>
      <c r="L488" t="s">
        <v>16</v>
      </c>
      <c r="M488" t="s">
        <v>937</v>
      </c>
      <c r="N488" t="s">
        <v>923</v>
      </c>
      <c r="O488">
        <f>_xlfn.XLOOKUP(customer_satisfaction_cleaned[[#This Row],[Product Category]],Table2[Product Category],Table2[Delivery SLA (Days)],"NA",0)</f>
        <v>5</v>
      </c>
      <c r="P4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89" spans="1:16" x14ac:dyDescent="0.2">
      <c r="A489" t="s">
        <v>495</v>
      </c>
      <c r="B489" t="s">
        <v>23</v>
      </c>
      <c r="C489">
        <v>7</v>
      </c>
      <c r="D489">
        <v>4</v>
      </c>
      <c r="E489" t="s">
        <v>13</v>
      </c>
      <c r="F489">
        <v>8.1999999999999993</v>
      </c>
      <c r="G489">
        <v>45</v>
      </c>
      <c r="H489" t="s">
        <v>29</v>
      </c>
      <c r="I489" t="s">
        <v>13</v>
      </c>
      <c r="J489" t="s">
        <v>25</v>
      </c>
      <c r="K489">
        <v>8.1999999999999993</v>
      </c>
      <c r="L489" t="s">
        <v>16</v>
      </c>
      <c r="M489" t="s">
        <v>16</v>
      </c>
      <c r="N489" t="s">
        <v>923</v>
      </c>
      <c r="O489">
        <f>_xlfn.XLOOKUP(customer_satisfaction_cleaned[[#This Row],[Product Category]],Table2[Product Category],Table2[Delivery SLA (Days)],"NA",0)</f>
        <v>7</v>
      </c>
      <c r="P4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0" spans="1:16" x14ac:dyDescent="0.2">
      <c r="A490" t="s">
        <v>496</v>
      </c>
      <c r="B490" t="s">
        <v>12</v>
      </c>
      <c r="C490">
        <v>6</v>
      </c>
      <c r="D490">
        <v>8</v>
      </c>
      <c r="E490" t="s">
        <v>13</v>
      </c>
      <c r="F490">
        <v>49.02</v>
      </c>
      <c r="G490">
        <v>37</v>
      </c>
      <c r="H490" t="s">
        <v>44</v>
      </c>
      <c r="I490" t="s">
        <v>13</v>
      </c>
      <c r="J490" t="s">
        <v>20</v>
      </c>
      <c r="K490">
        <v>49.02</v>
      </c>
      <c r="L490" t="s">
        <v>16</v>
      </c>
      <c r="M490" t="s">
        <v>16</v>
      </c>
      <c r="N490" t="s">
        <v>923</v>
      </c>
      <c r="O490">
        <f>_xlfn.XLOOKUP(customer_satisfaction_cleaned[[#This Row],[Product Category]],Table2[Product Category],Table2[Delivery SLA (Days)],"NA",0)</f>
        <v>5</v>
      </c>
      <c r="P4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91" spans="1:16" x14ac:dyDescent="0.2">
      <c r="A491" t="s">
        <v>497</v>
      </c>
      <c r="B491" t="s">
        <v>12</v>
      </c>
      <c r="C491">
        <v>7</v>
      </c>
      <c r="D491">
        <v>4</v>
      </c>
      <c r="E491" t="s">
        <v>21</v>
      </c>
      <c r="F491">
        <v>168.4</v>
      </c>
      <c r="G491">
        <v>51</v>
      </c>
      <c r="H491" t="s">
        <v>29</v>
      </c>
      <c r="I491" t="s">
        <v>21</v>
      </c>
      <c r="J491" t="s">
        <v>25</v>
      </c>
      <c r="K491">
        <v>168.4</v>
      </c>
      <c r="L491" t="s">
        <v>16</v>
      </c>
      <c r="M491" t="s">
        <v>16</v>
      </c>
      <c r="N491" t="s">
        <v>923</v>
      </c>
      <c r="O491">
        <f>_xlfn.XLOOKUP(customer_satisfaction_cleaned[[#This Row],[Product Category]],Table2[Product Category],Table2[Delivery SLA (Days)],"NA",0)</f>
        <v>5</v>
      </c>
      <c r="P4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2" spans="1:16" x14ac:dyDescent="0.2">
      <c r="A492" t="s">
        <v>498</v>
      </c>
      <c r="B492" t="s">
        <v>18</v>
      </c>
      <c r="C492">
        <v>11</v>
      </c>
      <c r="D492">
        <v>6</v>
      </c>
      <c r="E492" t="s">
        <v>13</v>
      </c>
      <c r="F492">
        <v>109.34</v>
      </c>
      <c r="G492">
        <v>34</v>
      </c>
      <c r="H492" t="s">
        <v>29</v>
      </c>
      <c r="I492" t="s">
        <v>13</v>
      </c>
      <c r="J492" t="s">
        <v>25</v>
      </c>
      <c r="K492">
        <v>109.34</v>
      </c>
      <c r="L492" t="s">
        <v>16</v>
      </c>
      <c r="M492" t="s">
        <v>16</v>
      </c>
      <c r="N492" t="s">
        <v>923</v>
      </c>
      <c r="O492">
        <f>_xlfn.XLOOKUP(customer_satisfaction_cleaned[[#This Row],[Product Category]],Table2[Product Category],Table2[Delivery SLA (Days)],"NA",0)</f>
        <v>10</v>
      </c>
      <c r="P4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3" spans="1:16" x14ac:dyDescent="0.2">
      <c r="A493" t="s">
        <v>499</v>
      </c>
      <c r="B493" t="s">
        <v>23</v>
      </c>
      <c r="C493">
        <v>9</v>
      </c>
      <c r="D493">
        <v>4</v>
      </c>
      <c r="E493" t="s">
        <v>21</v>
      </c>
      <c r="F493">
        <v>86.91</v>
      </c>
      <c r="G493">
        <v>37</v>
      </c>
      <c r="H493" t="s">
        <v>44</v>
      </c>
      <c r="I493" t="s">
        <v>21</v>
      </c>
      <c r="J493" t="s">
        <v>20</v>
      </c>
      <c r="K493">
        <v>86.91</v>
      </c>
      <c r="L493" t="s">
        <v>16</v>
      </c>
      <c r="M493" t="s">
        <v>16</v>
      </c>
      <c r="N493" t="s">
        <v>923</v>
      </c>
      <c r="O493">
        <f>_xlfn.XLOOKUP(customer_satisfaction_cleaned[[#This Row],[Product Category]],Table2[Product Category],Table2[Delivery SLA (Days)],"NA",0)</f>
        <v>7</v>
      </c>
      <c r="P4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4" spans="1:16" x14ac:dyDescent="0.2">
      <c r="A494" t="s">
        <v>500</v>
      </c>
      <c r="B494" t="s">
        <v>23</v>
      </c>
      <c r="C494">
        <v>5</v>
      </c>
      <c r="D494">
        <v>7</v>
      </c>
      <c r="E494" t="s">
        <v>13</v>
      </c>
      <c r="F494">
        <v>80.760000000000005</v>
      </c>
      <c r="G494">
        <v>30</v>
      </c>
      <c r="H494" t="s">
        <v>42</v>
      </c>
      <c r="I494" t="s">
        <v>13</v>
      </c>
      <c r="J494" t="s">
        <v>25</v>
      </c>
      <c r="K494">
        <v>80.760000000000005</v>
      </c>
      <c r="L494" t="s">
        <v>16</v>
      </c>
      <c r="M494" t="s">
        <v>16</v>
      </c>
      <c r="N494" t="s">
        <v>923</v>
      </c>
      <c r="O494">
        <f>_xlfn.XLOOKUP(customer_satisfaction_cleaned[[#This Row],[Product Category]],Table2[Product Category],Table2[Delivery SLA (Days)],"NA",0)</f>
        <v>7</v>
      </c>
      <c r="P4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5" spans="1:16" x14ac:dyDescent="0.2">
      <c r="A495" t="s">
        <v>501</v>
      </c>
      <c r="B495" t="s">
        <v>23</v>
      </c>
      <c r="E495" t="s">
        <v>13</v>
      </c>
      <c r="F495">
        <v>75.64</v>
      </c>
      <c r="G495">
        <v>44</v>
      </c>
      <c r="H495" t="s">
        <v>29</v>
      </c>
      <c r="I495" t="s">
        <v>13</v>
      </c>
      <c r="J495" t="s">
        <v>25</v>
      </c>
      <c r="K495">
        <v>75.64</v>
      </c>
      <c r="L495" t="s">
        <v>936</v>
      </c>
      <c r="M495" t="s">
        <v>937</v>
      </c>
      <c r="N495" t="s">
        <v>923</v>
      </c>
      <c r="O495">
        <f>_xlfn.XLOOKUP(customer_satisfaction_cleaned[[#This Row],[Product Category]],Table2[Product Category],Table2[Delivery SLA (Days)],"NA",0)</f>
        <v>7</v>
      </c>
      <c r="P4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96" spans="1:16" x14ac:dyDescent="0.2">
      <c r="A496" t="s">
        <v>502</v>
      </c>
      <c r="B496" t="s">
        <v>23</v>
      </c>
      <c r="D496">
        <v>3</v>
      </c>
      <c r="E496" t="s">
        <v>29</v>
      </c>
      <c r="F496">
        <v>81.92</v>
      </c>
      <c r="G496">
        <v>40</v>
      </c>
      <c r="H496" t="s">
        <v>20</v>
      </c>
      <c r="I496" t="s">
        <v>25</v>
      </c>
      <c r="J496" t="s">
        <v>20</v>
      </c>
      <c r="K496">
        <v>81.92</v>
      </c>
      <c r="L496" t="s">
        <v>936</v>
      </c>
      <c r="M496" t="s">
        <v>16</v>
      </c>
      <c r="N496" t="s">
        <v>923</v>
      </c>
      <c r="O496">
        <f>_xlfn.XLOOKUP(customer_satisfaction_cleaned[[#This Row],[Product Category]],Table2[Product Category],Table2[Delivery SLA (Days)],"NA",0)</f>
        <v>7</v>
      </c>
      <c r="P4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7" spans="1:16" x14ac:dyDescent="0.2">
      <c r="A497" t="s">
        <v>503</v>
      </c>
      <c r="B497" t="s">
        <v>18</v>
      </c>
      <c r="C497">
        <v>9</v>
      </c>
      <c r="D497">
        <v>7</v>
      </c>
      <c r="E497" t="s">
        <v>32</v>
      </c>
      <c r="F497">
        <v>133.16999999999999</v>
      </c>
      <c r="G497">
        <v>25</v>
      </c>
      <c r="H497" t="s">
        <v>24</v>
      </c>
      <c r="I497" t="s">
        <v>13</v>
      </c>
      <c r="J497" t="s">
        <v>25</v>
      </c>
      <c r="K497">
        <v>133.16999999999999</v>
      </c>
      <c r="L497" t="s">
        <v>16</v>
      </c>
      <c r="M497" t="s">
        <v>16</v>
      </c>
      <c r="N497" t="s">
        <v>924</v>
      </c>
      <c r="O497">
        <f>_xlfn.XLOOKUP(customer_satisfaction_cleaned[[#This Row],[Product Category]],Table2[Product Category],Table2[Delivery SLA (Days)],"NA",0)</f>
        <v>10</v>
      </c>
      <c r="P4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8" spans="1:16" x14ac:dyDescent="0.2">
      <c r="A498" t="s">
        <v>504</v>
      </c>
      <c r="B498" t="s">
        <v>12</v>
      </c>
      <c r="C498">
        <v>5</v>
      </c>
      <c r="D498">
        <v>2</v>
      </c>
      <c r="E498" t="s">
        <v>21</v>
      </c>
      <c r="F498">
        <v>47.68</v>
      </c>
      <c r="H498" t="s">
        <v>34</v>
      </c>
      <c r="I498" t="s">
        <v>21</v>
      </c>
      <c r="J498" t="s">
        <v>25</v>
      </c>
      <c r="K498">
        <v>47.68</v>
      </c>
      <c r="L498" t="s">
        <v>16</v>
      </c>
      <c r="M498" t="s">
        <v>16</v>
      </c>
      <c r="N498" t="s">
        <v>922</v>
      </c>
      <c r="O498">
        <f>_xlfn.XLOOKUP(customer_satisfaction_cleaned[[#This Row],[Product Category]],Table2[Product Category],Table2[Delivery SLA (Days)],"NA",0)</f>
        <v>5</v>
      </c>
      <c r="P4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9" spans="1:16" x14ac:dyDescent="0.2">
      <c r="A499" t="s">
        <v>505</v>
      </c>
      <c r="B499" t="s">
        <v>12</v>
      </c>
      <c r="C499">
        <v>10</v>
      </c>
      <c r="D499">
        <v>3</v>
      </c>
      <c r="E499" t="s">
        <v>21</v>
      </c>
      <c r="F499">
        <v>117.55</v>
      </c>
      <c r="G499">
        <v>23</v>
      </c>
      <c r="H499" t="s">
        <v>20</v>
      </c>
      <c r="I499" t="s">
        <v>21</v>
      </c>
      <c r="J499" t="s">
        <v>20</v>
      </c>
      <c r="K499">
        <v>117.55</v>
      </c>
      <c r="L499" t="s">
        <v>16</v>
      </c>
      <c r="M499" t="s">
        <v>16</v>
      </c>
      <c r="N499" t="s">
        <v>924</v>
      </c>
      <c r="O499">
        <f>_xlfn.XLOOKUP(customer_satisfaction_cleaned[[#This Row],[Product Category]],Table2[Product Category],Table2[Delivery SLA (Days)],"NA",0)</f>
        <v>5</v>
      </c>
      <c r="P4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0" spans="1:16" x14ac:dyDescent="0.2">
      <c r="A500" t="s">
        <v>506</v>
      </c>
      <c r="B500" t="s">
        <v>12</v>
      </c>
      <c r="C500">
        <v>10</v>
      </c>
      <c r="D500">
        <v>5</v>
      </c>
      <c r="E500" t="s">
        <v>19</v>
      </c>
      <c r="F500">
        <v>80.09</v>
      </c>
      <c r="G500">
        <v>22</v>
      </c>
      <c r="H500" t="s">
        <v>29</v>
      </c>
      <c r="I500" t="s">
        <v>21</v>
      </c>
      <c r="J500" t="s">
        <v>25</v>
      </c>
      <c r="K500">
        <v>80.09</v>
      </c>
      <c r="L500" t="s">
        <v>16</v>
      </c>
      <c r="M500" t="s">
        <v>16</v>
      </c>
      <c r="N500" t="s">
        <v>924</v>
      </c>
      <c r="O500">
        <f>_xlfn.XLOOKUP(customer_satisfaction_cleaned[[#This Row],[Product Category]],Table2[Product Category],Table2[Delivery SLA (Days)],"NA",0)</f>
        <v>5</v>
      </c>
      <c r="P5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1" spans="1:16" x14ac:dyDescent="0.2">
      <c r="A501" t="s">
        <v>507</v>
      </c>
      <c r="B501" t="s">
        <v>12</v>
      </c>
      <c r="C501">
        <v>7</v>
      </c>
      <c r="D501">
        <v>5</v>
      </c>
      <c r="E501" t="s">
        <v>13</v>
      </c>
      <c r="F501">
        <v>182.56</v>
      </c>
      <c r="G501">
        <v>35</v>
      </c>
      <c r="H501" t="s">
        <v>44</v>
      </c>
      <c r="I501" t="s">
        <v>13</v>
      </c>
      <c r="J501" t="s">
        <v>20</v>
      </c>
      <c r="K501">
        <v>182.56</v>
      </c>
      <c r="L501" t="s">
        <v>16</v>
      </c>
      <c r="M501" t="s">
        <v>16</v>
      </c>
      <c r="N501" t="s">
        <v>923</v>
      </c>
      <c r="O501">
        <f>_xlfn.XLOOKUP(customer_satisfaction_cleaned[[#This Row],[Product Category]],Table2[Product Category],Table2[Delivery SLA (Days)],"NA",0)</f>
        <v>5</v>
      </c>
      <c r="P5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2" spans="1:16" x14ac:dyDescent="0.2">
      <c r="A502" t="s">
        <v>508</v>
      </c>
      <c r="B502" t="s">
        <v>36</v>
      </c>
      <c r="C502">
        <v>6</v>
      </c>
      <c r="D502">
        <v>4</v>
      </c>
      <c r="E502" t="s">
        <v>21</v>
      </c>
      <c r="F502">
        <v>141.4</v>
      </c>
      <c r="G502">
        <v>23</v>
      </c>
      <c r="H502" t="s">
        <v>15</v>
      </c>
      <c r="I502" t="s">
        <v>21</v>
      </c>
      <c r="J502" t="s">
        <v>15</v>
      </c>
      <c r="K502">
        <v>141.4</v>
      </c>
      <c r="L502" t="s">
        <v>16</v>
      </c>
      <c r="M502" t="s">
        <v>16</v>
      </c>
      <c r="N502" t="s">
        <v>924</v>
      </c>
      <c r="O502" t="str">
        <f>_xlfn.XLOOKUP(customer_satisfaction_cleaned[[#This Row],[Product Category]],Table2[Product Category],Table2[Delivery SLA (Days)],"NA",0)</f>
        <v>NA</v>
      </c>
      <c r="P5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03" spans="1:16" x14ac:dyDescent="0.2">
      <c r="A503" t="s">
        <v>509</v>
      </c>
      <c r="B503" t="s">
        <v>18</v>
      </c>
      <c r="C503">
        <v>8</v>
      </c>
      <c r="D503">
        <v>8</v>
      </c>
      <c r="E503" t="s">
        <v>13</v>
      </c>
      <c r="F503">
        <v>126.67</v>
      </c>
      <c r="G503">
        <v>34</v>
      </c>
      <c r="H503" t="s">
        <v>15</v>
      </c>
      <c r="I503" t="s">
        <v>13</v>
      </c>
      <c r="J503" t="s">
        <v>15</v>
      </c>
      <c r="K503">
        <v>126.67</v>
      </c>
      <c r="L503" t="s">
        <v>16</v>
      </c>
      <c r="M503" t="s">
        <v>16</v>
      </c>
      <c r="N503" t="s">
        <v>923</v>
      </c>
      <c r="O503">
        <f>_xlfn.XLOOKUP(customer_satisfaction_cleaned[[#This Row],[Product Category]],Table2[Product Category],Table2[Delivery SLA (Days)],"NA",0)</f>
        <v>10</v>
      </c>
      <c r="P5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4" spans="1:16" x14ac:dyDescent="0.2">
      <c r="A504" t="s">
        <v>510</v>
      </c>
      <c r="B504" t="s">
        <v>12</v>
      </c>
      <c r="C504">
        <v>7</v>
      </c>
      <c r="D504">
        <v>5</v>
      </c>
      <c r="E504" t="s">
        <v>19</v>
      </c>
      <c r="F504">
        <v>85.86</v>
      </c>
      <c r="G504">
        <v>37</v>
      </c>
      <c r="H504" t="s">
        <v>42</v>
      </c>
      <c r="I504" t="s">
        <v>21</v>
      </c>
      <c r="J504" t="s">
        <v>25</v>
      </c>
      <c r="K504">
        <v>85.86</v>
      </c>
      <c r="L504" t="s">
        <v>16</v>
      </c>
      <c r="M504" t="s">
        <v>16</v>
      </c>
      <c r="N504" t="s">
        <v>923</v>
      </c>
      <c r="O504">
        <f>_xlfn.XLOOKUP(customer_satisfaction_cleaned[[#This Row],[Product Category]],Table2[Product Category],Table2[Delivery SLA (Days)],"NA",0)</f>
        <v>5</v>
      </c>
      <c r="P5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5" spans="1:16" x14ac:dyDescent="0.2">
      <c r="A505" t="s">
        <v>511</v>
      </c>
      <c r="B505" t="s">
        <v>47</v>
      </c>
      <c r="C505">
        <v>10</v>
      </c>
      <c r="D505">
        <v>3</v>
      </c>
      <c r="E505" t="s">
        <v>13</v>
      </c>
      <c r="F505">
        <v>151.79</v>
      </c>
      <c r="G505">
        <v>26</v>
      </c>
      <c r="H505" t="s">
        <v>24</v>
      </c>
      <c r="I505" t="s">
        <v>13</v>
      </c>
      <c r="J505" t="s">
        <v>25</v>
      </c>
      <c r="K505">
        <v>151.79</v>
      </c>
      <c r="L505" t="s">
        <v>16</v>
      </c>
      <c r="M505" t="s">
        <v>16</v>
      </c>
      <c r="N505" t="s">
        <v>924</v>
      </c>
      <c r="O505">
        <f>_xlfn.XLOOKUP(customer_satisfaction_cleaned[[#This Row],[Product Category]],Table2[Product Category],Table2[Delivery SLA (Days)],"NA",0)</f>
        <v>7</v>
      </c>
      <c r="P5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6" spans="1:16" x14ac:dyDescent="0.2">
      <c r="A506" t="s">
        <v>512</v>
      </c>
      <c r="B506" t="s">
        <v>12</v>
      </c>
      <c r="C506">
        <v>4</v>
      </c>
      <c r="D506">
        <v>2</v>
      </c>
      <c r="E506" t="s">
        <v>21</v>
      </c>
      <c r="F506">
        <v>100.03</v>
      </c>
      <c r="G506">
        <v>27</v>
      </c>
      <c r="H506" t="s">
        <v>24</v>
      </c>
      <c r="I506" t="s">
        <v>21</v>
      </c>
      <c r="J506" t="s">
        <v>25</v>
      </c>
      <c r="K506">
        <v>100.03</v>
      </c>
      <c r="L506" t="s">
        <v>16</v>
      </c>
      <c r="M506" t="s">
        <v>16</v>
      </c>
      <c r="N506" t="s">
        <v>924</v>
      </c>
      <c r="O506">
        <f>_xlfn.XLOOKUP(customer_satisfaction_cleaned[[#This Row],[Product Category]],Table2[Product Category],Table2[Delivery SLA (Days)],"NA",0)</f>
        <v>5</v>
      </c>
      <c r="P5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7" spans="1:16" x14ac:dyDescent="0.2">
      <c r="A507" t="s">
        <v>513</v>
      </c>
      <c r="B507" t="s">
        <v>12</v>
      </c>
      <c r="C507">
        <v>10</v>
      </c>
      <c r="D507">
        <v>5</v>
      </c>
      <c r="E507" t="s">
        <v>21</v>
      </c>
      <c r="F507">
        <v>100.49</v>
      </c>
      <c r="G507">
        <v>27</v>
      </c>
      <c r="H507" t="s">
        <v>44</v>
      </c>
      <c r="I507" t="s">
        <v>21</v>
      </c>
      <c r="J507" t="s">
        <v>20</v>
      </c>
      <c r="K507">
        <v>100.49</v>
      </c>
      <c r="L507" t="s">
        <v>16</v>
      </c>
      <c r="M507" t="s">
        <v>16</v>
      </c>
      <c r="N507" t="s">
        <v>924</v>
      </c>
      <c r="O507">
        <f>_xlfn.XLOOKUP(customer_satisfaction_cleaned[[#This Row],[Product Category]],Table2[Product Category],Table2[Delivery SLA (Days)],"NA",0)</f>
        <v>5</v>
      </c>
      <c r="P5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8" spans="1:16" x14ac:dyDescent="0.2">
      <c r="A508" t="s">
        <v>514</v>
      </c>
      <c r="B508" t="s">
        <v>12</v>
      </c>
      <c r="C508">
        <v>6</v>
      </c>
      <c r="D508">
        <v>6</v>
      </c>
      <c r="E508" t="s">
        <v>13</v>
      </c>
      <c r="F508">
        <v>75.28</v>
      </c>
      <c r="G508">
        <v>42</v>
      </c>
      <c r="H508" t="s">
        <v>14</v>
      </c>
      <c r="I508" t="s">
        <v>13</v>
      </c>
      <c r="J508" t="s">
        <v>15</v>
      </c>
      <c r="K508">
        <v>75.28</v>
      </c>
      <c r="L508" t="s">
        <v>16</v>
      </c>
      <c r="M508" t="s">
        <v>16</v>
      </c>
      <c r="N508" t="s">
        <v>923</v>
      </c>
      <c r="O508">
        <f>_xlfn.XLOOKUP(customer_satisfaction_cleaned[[#This Row],[Product Category]],Table2[Product Category],Table2[Delivery SLA (Days)],"NA",0)</f>
        <v>5</v>
      </c>
      <c r="P5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09" spans="1:16" x14ac:dyDescent="0.2">
      <c r="A509" t="s">
        <v>515</v>
      </c>
      <c r="B509" t="s">
        <v>12</v>
      </c>
      <c r="C509">
        <v>7</v>
      </c>
      <c r="D509">
        <v>6</v>
      </c>
      <c r="E509" t="s">
        <v>13</v>
      </c>
      <c r="F509">
        <v>157.87</v>
      </c>
      <c r="G509">
        <v>38</v>
      </c>
      <c r="H509" t="s">
        <v>20</v>
      </c>
      <c r="I509" t="s">
        <v>13</v>
      </c>
      <c r="J509" t="s">
        <v>20</v>
      </c>
      <c r="K509">
        <v>157.87</v>
      </c>
      <c r="L509" t="s">
        <v>16</v>
      </c>
      <c r="M509" t="s">
        <v>16</v>
      </c>
      <c r="N509" t="s">
        <v>923</v>
      </c>
      <c r="O509">
        <f>_xlfn.XLOOKUP(customer_satisfaction_cleaned[[#This Row],[Product Category]],Table2[Product Category],Table2[Delivery SLA (Days)],"NA",0)</f>
        <v>5</v>
      </c>
      <c r="P5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10" spans="1:16" x14ac:dyDescent="0.2">
      <c r="A510" t="s">
        <v>516</v>
      </c>
      <c r="B510" t="s">
        <v>18</v>
      </c>
      <c r="C510">
        <v>7</v>
      </c>
      <c r="D510">
        <v>5</v>
      </c>
      <c r="E510" t="s">
        <v>29</v>
      </c>
      <c r="F510">
        <v>10.16</v>
      </c>
      <c r="G510">
        <v>20</v>
      </c>
      <c r="H510" t="s">
        <v>14</v>
      </c>
      <c r="I510" t="s">
        <v>25</v>
      </c>
      <c r="J510" t="s">
        <v>15</v>
      </c>
      <c r="K510">
        <v>10.16</v>
      </c>
      <c r="L510" t="s">
        <v>16</v>
      </c>
      <c r="M510" t="s">
        <v>16</v>
      </c>
      <c r="N510" t="s">
        <v>924</v>
      </c>
      <c r="O510">
        <f>_xlfn.XLOOKUP(customer_satisfaction_cleaned[[#This Row],[Product Category]],Table2[Product Category],Table2[Delivery SLA (Days)],"NA",0)</f>
        <v>10</v>
      </c>
      <c r="P5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1" spans="1:16" x14ac:dyDescent="0.2">
      <c r="A511" t="s">
        <v>517</v>
      </c>
      <c r="B511" t="s">
        <v>47</v>
      </c>
      <c r="D511">
        <v>6</v>
      </c>
      <c r="E511" t="s">
        <v>21</v>
      </c>
      <c r="F511">
        <v>72.03</v>
      </c>
      <c r="G511">
        <v>43</v>
      </c>
      <c r="H511" t="s">
        <v>24</v>
      </c>
      <c r="I511" t="s">
        <v>21</v>
      </c>
      <c r="J511" t="s">
        <v>25</v>
      </c>
      <c r="K511">
        <v>72.03</v>
      </c>
      <c r="L511" t="s">
        <v>936</v>
      </c>
      <c r="M511" t="s">
        <v>16</v>
      </c>
      <c r="N511" t="s">
        <v>923</v>
      </c>
      <c r="O511">
        <f>_xlfn.XLOOKUP(customer_satisfaction_cleaned[[#This Row],[Product Category]],Table2[Product Category],Table2[Delivery SLA (Days)],"NA",0)</f>
        <v>7</v>
      </c>
      <c r="P5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2" spans="1:16" x14ac:dyDescent="0.2">
      <c r="A512" t="s">
        <v>518</v>
      </c>
      <c r="B512" t="s">
        <v>36</v>
      </c>
      <c r="C512">
        <v>7</v>
      </c>
      <c r="E512" t="s">
        <v>34</v>
      </c>
      <c r="F512">
        <v>126.59</v>
      </c>
      <c r="G512">
        <v>36</v>
      </c>
      <c r="H512" t="s">
        <v>29</v>
      </c>
      <c r="I512" t="s">
        <v>25</v>
      </c>
      <c r="J512" t="s">
        <v>25</v>
      </c>
      <c r="K512">
        <v>126.59</v>
      </c>
      <c r="L512" t="s">
        <v>16</v>
      </c>
      <c r="M512" t="s">
        <v>937</v>
      </c>
      <c r="N512" t="s">
        <v>923</v>
      </c>
      <c r="O512" t="str">
        <f>_xlfn.XLOOKUP(customer_satisfaction_cleaned[[#This Row],[Product Category]],Table2[Product Category],Table2[Delivery SLA (Days)],"NA",0)</f>
        <v>NA</v>
      </c>
      <c r="P5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13" spans="1:16" x14ac:dyDescent="0.2">
      <c r="A513" t="s">
        <v>519</v>
      </c>
      <c r="B513" t="s">
        <v>47</v>
      </c>
      <c r="C513">
        <v>8</v>
      </c>
      <c r="D513">
        <v>4</v>
      </c>
      <c r="E513" t="s">
        <v>32</v>
      </c>
      <c r="F513">
        <v>135.72</v>
      </c>
      <c r="G513">
        <v>55</v>
      </c>
      <c r="H513" t="s">
        <v>15</v>
      </c>
      <c r="I513" t="s">
        <v>13</v>
      </c>
      <c r="J513" t="s">
        <v>15</v>
      </c>
      <c r="K513">
        <v>135.72</v>
      </c>
      <c r="L513" t="s">
        <v>16</v>
      </c>
      <c r="M513" t="s">
        <v>16</v>
      </c>
      <c r="N513" t="s">
        <v>923</v>
      </c>
      <c r="O513">
        <f>_xlfn.XLOOKUP(customer_satisfaction_cleaned[[#This Row],[Product Category]],Table2[Product Category],Table2[Delivery SLA (Days)],"NA",0)</f>
        <v>7</v>
      </c>
      <c r="P5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4" spans="1:16" x14ac:dyDescent="0.2">
      <c r="A514" t="s">
        <v>520</v>
      </c>
      <c r="B514" t="s">
        <v>23</v>
      </c>
      <c r="C514">
        <v>9</v>
      </c>
      <c r="D514">
        <v>2</v>
      </c>
      <c r="E514" t="s">
        <v>19</v>
      </c>
      <c r="F514">
        <v>50.23</v>
      </c>
      <c r="G514">
        <v>38</v>
      </c>
      <c r="H514" t="s">
        <v>29</v>
      </c>
      <c r="I514" t="s">
        <v>21</v>
      </c>
      <c r="J514" t="s">
        <v>25</v>
      </c>
      <c r="K514">
        <v>50.23</v>
      </c>
      <c r="L514" t="s">
        <v>16</v>
      </c>
      <c r="M514" t="s">
        <v>16</v>
      </c>
      <c r="N514" t="s">
        <v>923</v>
      </c>
      <c r="O514">
        <f>_xlfn.XLOOKUP(customer_satisfaction_cleaned[[#This Row],[Product Category]],Table2[Product Category],Table2[Delivery SLA (Days)],"NA",0)</f>
        <v>7</v>
      </c>
      <c r="P5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5" spans="1:16" x14ac:dyDescent="0.2">
      <c r="A515" t="s">
        <v>521</v>
      </c>
      <c r="B515" t="s">
        <v>23</v>
      </c>
      <c r="D515">
        <v>2</v>
      </c>
      <c r="E515" t="s">
        <v>21</v>
      </c>
      <c r="F515">
        <v>46.62</v>
      </c>
      <c r="G515">
        <v>0</v>
      </c>
      <c r="H515" t="s">
        <v>15</v>
      </c>
      <c r="I515" t="s">
        <v>21</v>
      </c>
      <c r="J515" t="s">
        <v>15</v>
      </c>
      <c r="K515">
        <v>46.62</v>
      </c>
      <c r="L515" t="s">
        <v>936</v>
      </c>
      <c r="M515" t="s">
        <v>16</v>
      </c>
      <c r="N515" t="s">
        <v>926</v>
      </c>
      <c r="O515">
        <f>_xlfn.XLOOKUP(customer_satisfaction_cleaned[[#This Row],[Product Category]],Table2[Product Category],Table2[Delivery SLA (Days)],"NA",0)</f>
        <v>7</v>
      </c>
      <c r="P5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6" spans="1:16" x14ac:dyDescent="0.2">
      <c r="A516" t="s">
        <v>522</v>
      </c>
      <c r="B516" t="s">
        <v>47</v>
      </c>
      <c r="C516">
        <v>7</v>
      </c>
      <c r="D516">
        <v>6</v>
      </c>
      <c r="E516" t="s">
        <v>21</v>
      </c>
      <c r="F516">
        <v>21751</v>
      </c>
      <c r="G516">
        <v>31</v>
      </c>
      <c r="H516" t="s">
        <v>15</v>
      </c>
      <c r="I516" t="s">
        <v>21</v>
      </c>
      <c r="J516" t="s">
        <v>15</v>
      </c>
      <c r="K516">
        <v>21751</v>
      </c>
      <c r="L516" t="s">
        <v>16</v>
      </c>
      <c r="M516" t="s">
        <v>16</v>
      </c>
      <c r="N516" t="s">
        <v>923</v>
      </c>
      <c r="O516">
        <f>_xlfn.XLOOKUP(customer_satisfaction_cleaned[[#This Row],[Product Category]],Table2[Product Category],Table2[Delivery SLA (Days)],"NA",0)</f>
        <v>7</v>
      </c>
      <c r="P5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7" spans="1:16" x14ac:dyDescent="0.2">
      <c r="A517" t="s">
        <v>523</v>
      </c>
      <c r="B517" t="s">
        <v>18</v>
      </c>
      <c r="C517">
        <v>5</v>
      </c>
      <c r="D517">
        <v>2</v>
      </c>
      <c r="E517" t="s">
        <v>29</v>
      </c>
      <c r="F517">
        <v>104.56</v>
      </c>
      <c r="G517">
        <v>16</v>
      </c>
      <c r="H517" t="s">
        <v>14</v>
      </c>
      <c r="I517" t="s">
        <v>25</v>
      </c>
      <c r="J517" t="s">
        <v>15</v>
      </c>
      <c r="K517">
        <v>104.56</v>
      </c>
      <c r="L517" t="s">
        <v>16</v>
      </c>
      <c r="M517" t="s">
        <v>16</v>
      </c>
      <c r="N517" t="s">
        <v>924</v>
      </c>
      <c r="O517">
        <f>_xlfn.XLOOKUP(customer_satisfaction_cleaned[[#This Row],[Product Category]],Table2[Product Category],Table2[Delivery SLA (Days)],"NA",0)</f>
        <v>10</v>
      </c>
      <c r="P5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8" spans="1:16" x14ac:dyDescent="0.2">
      <c r="A518" t="s">
        <v>524</v>
      </c>
      <c r="B518" t="s">
        <v>47</v>
      </c>
      <c r="C518">
        <v>4</v>
      </c>
      <c r="D518">
        <v>7</v>
      </c>
      <c r="E518" t="s">
        <v>21</v>
      </c>
      <c r="F518">
        <v>48.14</v>
      </c>
      <c r="G518">
        <v>35</v>
      </c>
      <c r="H518" t="s">
        <v>15</v>
      </c>
      <c r="I518" t="s">
        <v>21</v>
      </c>
      <c r="J518" t="s">
        <v>15</v>
      </c>
      <c r="K518">
        <v>48.14</v>
      </c>
      <c r="L518" t="s">
        <v>16</v>
      </c>
      <c r="M518" t="s">
        <v>16</v>
      </c>
      <c r="N518" t="s">
        <v>923</v>
      </c>
      <c r="O518">
        <f>_xlfn.XLOOKUP(customer_satisfaction_cleaned[[#This Row],[Product Category]],Table2[Product Category],Table2[Delivery SLA (Days)],"NA",0)</f>
        <v>7</v>
      </c>
      <c r="P5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9" spans="1:16" x14ac:dyDescent="0.2">
      <c r="A519" t="s">
        <v>525</v>
      </c>
      <c r="B519" t="s">
        <v>36</v>
      </c>
      <c r="C519">
        <v>10</v>
      </c>
      <c r="D519">
        <v>9</v>
      </c>
      <c r="E519" t="s">
        <v>32</v>
      </c>
      <c r="F519">
        <v>81.73</v>
      </c>
      <c r="G519">
        <v>10</v>
      </c>
      <c r="H519" t="s">
        <v>20</v>
      </c>
      <c r="I519" t="s">
        <v>13</v>
      </c>
      <c r="J519" t="s">
        <v>20</v>
      </c>
      <c r="K519">
        <v>81.73</v>
      </c>
      <c r="L519" t="s">
        <v>16</v>
      </c>
      <c r="M519" t="s">
        <v>16</v>
      </c>
      <c r="N519" t="s">
        <v>926</v>
      </c>
      <c r="O519" t="str">
        <f>_xlfn.XLOOKUP(customer_satisfaction_cleaned[[#This Row],[Product Category]],Table2[Product Category],Table2[Delivery SLA (Days)],"NA",0)</f>
        <v>NA</v>
      </c>
      <c r="P5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20" spans="1:16" x14ac:dyDescent="0.2">
      <c r="A520" t="s">
        <v>526</v>
      </c>
      <c r="B520" t="s">
        <v>18</v>
      </c>
      <c r="C520">
        <v>9</v>
      </c>
      <c r="D520">
        <v>5</v>
      </c>
      <c r="E520" t="s">
        <v>32</v>
      </c>
      <c r="F520">
        <v>18.12</v>
      </c>
      <c r="G520">
        <v>38</v>
      </c>
      <c r="H520" t="s">
        <v>15</v>
      </c>
      <c r="I520" t="s">
        <v>13</v>
      </c>
      <c r="J520" t="s">
        <v>15</v>
      </c>
      <c r="K520">
        <v>18.12</v>
      </c>
      <c r="L520" t="s">
        <v>16</v>
      </c>
      <c r="M520" t="s">
        <v>16</v>
      </c>
      <c r="N520" t="s">
        <v>923</v>
      </c>
      <c r="O520">
        <f>_xlfn.XLOOKUP(customer_satisfaction_cleaned[[#This Row],[Product Category]],Table2[Product Category],Table2[Delivery SLA (Days)],"NA",0)</f>
        <v>10</v>
      </c>
      <c r="P5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1" spans="1:16" x14ac:dyDescent="0.2">
      <c r="A521" t="s">
        <v>527</v>
      </c>
      <c r="B521" t="s">
        <v>12</v>
      </c>
      <c r="C521">
        <v>5</v>
      </c>
      <c r="D521">
        <v>4</v>
      </c>
      <c r="E521" t="s">
        <v>32</v>
      </c>
      <c r="F521">
        <v>94</v>
      </c>
      <c r="G521">
        <v>38</v>
      </c>
      <c r="H521" t="s">
        <v>20</v>
      </c>
      <c r="I521" t="s">
        <v>13</v>
      </c>
      <c r="J521" t="s">
        <v>20</v>
      </c>
      <c r="K521">
        <v>94</v>
      </c>
      <c r="L521" t="s">
        <v>16</v>
      </c>
      <c r="M521" t="s">
        <v>16</v>
      </c>
      <c r="N521" t="s">
        <v>923</v>
      </c>
      <c r="O521">
        <f>_xlfn.XLOOKUP(customer_satisfaction_cleaned[[#This Row],[Product Category]],Table2[Product Category],Table2[Delivery SLA (Days)],"NA",0)</f>
        <v>5</v>
      </c>
      <c r="P5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2" spans="1:16" x14ac:dyDescent="0.2">
      <c r="A522" t="s">
        <v>528</v>
      </c>
      <c r="B522" t="s">
        <v>12</v>
      </c>
      <c r="C522">
        <v>12</v>
      </c>
      <c r="D522">
        <v>5</v>
      </c>
      <c r="E522" t="s">
        <v>13</v>
      </c>
      <c r="F522">
        <v>132.72999999999999</v>
      </c>
      <c r="G522">
        <v>17</v>
      </c>
      <c r="H522" t="s">
        <v>42</v>
      </c>
      <c r="I522" t="s">
        <v>13</v>
      </c>
      <c r="J522" t="s">
        <v>25</v>
      </c>
      <c r="K522">
        <v>132.72999999999999</v>
      </c>
      <c r="L522" t="s">
        <v>16</v>
      </c>
      <c r="M522" t="s">
        <v>16</v>
      </c>
      <c r="N522" t="s">
        <v>924</v>
      </c>
      <c r="O522">
        <f>_xlfn.XLOOKUP(customer_satisfaction_cleaned[[#This Row],[Product Category]],Table2[Product Category],Table2[Delivery SLA (Days)],"NA",0)</f>
        <v>5</v>
      </c>
      <c r="P5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3" spans="1:16" x14ac:dyDescent="0.2">
      <c r="A523" t="s">
        <v>529</v>
      </c>
      <c r="B523" t="s">
        <v>23</v>
      </c>
      <c r="C523">
        <v>8</v>
      </c>
      <c r="D523">
        <v>11</v>
      </c>
      <c r="E523" t="s">
        <v>29</v>
      </c>
      <c r="F523">
        <v>140.37</v>
      </c>
      <c r="G523">
        <v>39</v>
      </c>
      <c r="H523" t="s">
        <v>34</v>
      </c>
      <c r="I523" t="s">
        <v>25</v>
      </c>
      <c r="J523" t="s">
        <v>25</v>
      </c>
      <c r="K523">
        <v>140.37</v>
      </c>
      <c r="L523" t="s">
        <v>16</v>
      </c>
      <c r="M523" t="s">
        <v>16</v>
      </c>
      <c r="N523" t="s">
        <v>923</v>
      </c>
      <c r="O523">
        <f>_xlfn.XLOOKUP(customer_satisfaction_cleaned[[#This Row],[Product Category]],Table2[Product Category],Table2[Delivery SLA (Days)],"NA",0)</f>
        <v>7</v>
      </c>
      <c r="P5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24" spans="1:16" x14ac:dyDescent="0.2">
      <c r="A524" t="s">
        <v>530</v>
      </c>
      <c r="B524" t="s">
        <v>12</v>
      </c>
      <c r="C524">
        <v>4</v>
      </c>
      <c r="D524">
        <v>7</v>
      </c>
      <c r="E524" t="s">
        <v>29</v>
      </c>
      <c r="F524">
        <v>130.99</v>
      </c>
      <c r="G524">
        <v>21</v>
      </c>
      <c r="H524" t="s">
        <v>20</v>
      </c>
      <c r="I524" t="s">
        <v>25</v>
      </c>
      <c r="J524" t="s">
        <v>20</v>
      </c>
      <c r="K524">
        <v>130.99</v>
      </c>
      <c r="L524" t="s">
        <v>16</v>
      </c>
      <c r="M524" t="s">
        <v>16</v>
      </c>
      <c r="N524" t="s">
        <v>924</v>
      </c>
      <c r="O524">
        <f>_xlfn.XLOOKUP(customer_satisfaction_cleaned[[#This Row],[Product Category]],Table2[Product Category],Table2[Delivery SLA (Days)],"NA",0)</f>
        <v>5</v>
      </c>
      <c r="P5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25" spans="1:16" x14ac:dyDescent="0.2">
      <c r="A525" t="s">
        <v>531</v>
      </c>
      <c r="B525" t="s">
        <v>18</v>
      </c>
      <c r="C525">
        <v>3</v>
      </c>
      <c r="E525" t="s">
        <v>19</v>
      </c>
      <c r="F525">
        <v>125.83</v>
      </c>
      <c r="G525">
        <v>15</v>
      </c>
      <c r="H525" t="s">
        <v>14</v>
      </c>
      <c r="I525" t="s">
        <v>21</v>
      </c>
      <c r="J525" t="s">
        <v>15</v>
      </c>
      <c r="K525">
        <v>125.83</v>
      </c>
      <c r="L525" t="s">
        <v>16</v>
      </c>
      <c r="M525" t="s">
        <v>937</v>
      </c>
      <c r="N525" t="s">
        <v>924</v>
      </c>
      <c r="O525">
        <f>_xlfn.XLOOKUP(customer_satisfaction_cleaned[[#This Row],[Product Category]],Table2[Product Category],Table2[Delivery SLA (Days)],"NA",0)</f>
        <v>10</v>
      </c>
      <c r="P5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26" spans="1:16" x14ac:dyDescent="0.2">
      <c r="A526" t="s">
        <v>532</v>
      </c>
      <c r="B526" t="s">
        <v>47</v>
      </c>
      <c r="C526">
        <v>8</v>
      </c>
      <c r="D526">
        <v>4</v>
      </c>
      <c r="E526" t="s">
        <v>19</v>
      </c>
      <c r="F526">
        <v>42.53</v>
      </c>
      <c r="G526">
        <v>55</v>
      </c>
      <c r="H526" t="s">
        <v>44</v>
      </c>
      <c r="I526" t="s">
        <v>21</v>
      </c>
      <c r="J526" t="s">
        <v>20</v>
      </c>
      <c r="K526">
        <v>42.53</v>
      </c>
      <c r="L526" t="s">
        <v>16</v>
      </c>
      <c r="M526" t="s">
        <v>16</v>
      </c>
      <c r="N526" t="s">
        <v>923</v>
      </c>
      <c r="O526">
        <f>_xlfn.XLOOKUP(customer_satisfaction_cleaned[[#This Row],[Product Category]],Table2[Product Category],Table2[Delivery SLA (Days)],"NA",0)</f>
        <v>7</v>
      </c>
      <c r="P5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7" spans="1:16" x14ac:dyDescent="0.2">
      <c r="A527" t="s">
        <v>533</v>
      </c>
      <c r="B527" t="s">
        <v>18</v>
      </c>
      <c r="C527">
        <v>9</v>
      </c>
      <c r="D527">
        <v>5</v>
      </c>
      <c r="E527" t="s">
        <v>21</v>
      </c>
      <c r="F527">
        <v>42.92</v>
      </c>
      <c r="G527">
        <v>18</v>
      </c>
      <c r="H527" t="s">
        <v>42</v>
      </c>
      <c r="I527" t="s">
        <v>21</v>
      </c>
      <c r="J527" t="s">
        <v>25</v>
      </c>
      <c r="K527">
        <v>42.92</v>
      </c>
      <c r="L527" t="s">
        <v>16</v>
      </c>
      <c r="M527" t="s">
        <v>16</v>
      </c>
      <c r="N527" t="s">
        <v>924</v>
      </c>
      <c r="O527">
        <f>_xlfn.XLOOKUP(customer_satisfaction_cleaned[[#This Row],[Product Category]],Table2[Product Category],Table2[Delivery SLA (Days)],"NA",0)</f>
        <v>10</v>
      </c>
      <c r="P5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8" spans="1:16" x14ac:dyDescent="0.2">
      <c r="A528" t="s">
        <v>534</v>
      </c>
      <c r="B528" t="s">
        <v>23</v>
      </c>
      <c r="C528">
        <v>6</v>
      </c>
      <c r="D528">
        <v>4</v>
      </c>
      <c r="E528" t="s">
        <v>19</v>
      </c>
      <c r="F528">
        <v>121.67</v>
      </c>
      <c r="G528">
        <v>32</v>
      </c>
      <c r="H528" t="s">
        <v>29</v>
      </c>
      <c r="I528" t="s">
        <v>21</v>
      </c>
      <c r="J528" t="s">
        <v>25</v>
      </c>
      <c r="K528">
        <v>121.67</v>
      </c>
      <c r="L528" t="s">
        <v>16</v>
      </c>
      <c r="M528" t="s">
        <v>16</v>
      </c>
      <c r="N528" t="s">
        <v>923</v>
      </c>
      <c r="O528">
        <f>_xlfn.XLOOKUP(customer_satisfaction_cleaned[[#This Row],[Product Category]],Table2[Product Category],Table2[Delivery SLA (Days)],"NA",0)</f>
        <v>7</v>
      </c>
      <c r="P5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9" spans="1:16" x14ac:dyDescent="0.2">
      <c r="A529" t="s">
        <v>535</v>
      </c>
      <c r="B529" t="s">
        <v>18</v>
      </c>
      <c r="C529">
        <v>9</v>
      </c>
      <c r="D529">
        <v>8</v>
      </c>
      <c r="E529" t="s">
        <v>29</v>
      </c>
      <c r="F529">
        <v>144.74</v>
      </c>
      <c r="G529">
        <v>17</v>
      </c>
      <c r="H529" t="s">
        <v>14</v>
      </c>
      <c r="I529" t="s">
        <v>25</v>
      </c>
      <c r="J529" t="s">
        <v>15</v>
      </c>
      <c r="K529">
        <v>144.74</v>
      </c>
      <c r="L529" t="s">
        <v>16</v>
      </c>
      <c r="M529" t="s">
        <v>16</v>
      </c>
      <c r="N529" t="s">
        <v>924</v>
      </c>
      <c r="O529">
        <f>_xlfn.XLOOKUP(customer_satisfaction_cleaned[[#This Row],[Product Category]],Table2[Product Category],Table2[Delivery SLA (Days)],"NA",0)</f>
        <v>10</v>
      </c>
      <c r="P5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0" spans="1:16" x14ac:dyDescent="0.2">
      <c r="A530" t="s">
        <v>536</v>
      </c>
      <c r="B530" t="s">
        <v>36</v>
      </c>
      <c r="C530">
        <v>7</v>
      </c>
      <c r="D530">
        <v>1</v>
      </c>
      <c r="E530" t="s">
        <v>29</v>
      </c>
      <c r="F530">
        <v>149.79</v>
      </c>
      <c r="G530">
        <v>52</v>
      </c>
      <c r="H530" t="s">
        <v>29</v>
      </c>
      <c r="I530" t="s">
        <v>25</v>
      </c>
      <c r="J530" t="s">
        <v>25</v>
      </c>
      <c r="K530">
        <v>149.79</v>
      </c>
      <c r="L530" t="s">
        <v>16</v>
      </c>
      <c r="M530" t="s">
        <v>16</v>
      </c>
      <c r="N530" t="s">
        <v>923</v>
      </c>
      <c r="O530" t="str">
        <f>_xlfn.XLOOKUP(customer_satisfaction_cleaned[[#This Row],[Product Category]],Table2[Product Category],Table2[Delivery SLA (Days)],"NA",0)</f>
        <v>NA</v>
      </c>
      <c r="P5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31" spans="1:16" x14ac:dyDescent="0.2">
      <c r="A531" t="s">
        <v>537</v>
      </c>
      <c r="B531" t="s">
        <v>12</v>
      </c>
      <c r="C531">
        <v>5</v>
      </c>
      <c r="D531">
        <v>3</v>
      </c>
      <c r="E531" t="s">
        <v>29</v>
      </c>
      <c r="F531">
        <v>133.66</v>
      </c>
      <c r="G531">
        <v>0</v>
      </c>
      <c r="H531" t="s">
        <v>24</v>
      </c>
      <c r="I531" t="s">
        <v>25</v>
      </c>
      <c r="J531" t="s">
        <v>25</v>
      </c>
      <c r="K531">
        <v>133.66</v>
      </c>
      <c r="L531" t="s">
        <v>16</v>
      </c>
      <c r="M531" t="s">
        <v>16</v>
      </c>
      <c r="N531" t="s">
        <v>926</v>
      </c>
      <c r="O531">
        <f>_xlfn.XLOOKUP(customer_satisfaction_cleaned[[#This Row],[Product Category]],Table2[Product Category],Table2[Delivery SLA (Days)],"NA",0)</f>
        <v>5</v>
      </c>
      <c r="P5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2" spans="1:16" x14ac:dyDescent="0.2">
      <c r="A532" t="s">
        <v>538</v>
      </c>
      <c r="B532" t="s">
        <v>18</v>
      </c>
      <c r="C532">
        <v>6</v>
      </c>
      <c r="E532" t="s">
        <v>21</v>
      </c>
      <c r="F532">
        <v>116.57</v>
      </c>
      <c r="G532">
        <v>36</v>
      </c>
      <c r="H532" t="s">
        <v>42</v>
      </c>
      <c r="I532" t="s">
        <v>21</v>
      </c>
      <c r="J532" t="s">
        <v>25</v>
      </c>
      <c r="K532">
        <v>116.57</v>
      </c>
      <c r="L532" t="s">
        <v>16</v>
      </c>
      <c r="M532" t="s">
        <v>937</v>
      </c>
      <c r="N532" t="s">
        <v>923</v>
      </c>
      <c r="O532">
        <f>_xlfn.XLOOKUP(customer_satisfaction_cleaned[[#This Row],[Product Category]],Table2[Product Category],Table2[Delivery SLA (Days)],"NA",0)</f>
        <v>10</v>
      </c>
      <c r="P5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33" spans="1:16" x14ac:dyDescent="0.2">
      <c r="A533" t="s">
        <v>539</v>
      </c>
      <c r="B533" t="s">
        <v>12</v>
      </c>
      <c r="C533">
        <v>2</v>
      </c>
      <c r="D533">
        <v>4</v>
      </c>
      <c r="E533" t="s">
        <v>32</v>
      </c>
      <c r="F533">
        <v>74.819999999999993</v>
      </c>
      <c r="G533">
        <v>25</v>
      </c>
      <c r="H533" t="s">
        <v>15</v>
      </c>
      <c r="I533" t="s">
        <v>13</v>
      </c>
      <c r="J533" t="s">
        <v>15</v>
      </c>
      <c r="K533">
        <v>74.819999999999993</v>
      </c>
      <c r="L533" t="s">
        <v>16</v>
      </c>
      <c r="M533" t="s">
        <v>16</v>
      </c>
      <c r="N533" t="s">
        <v>924</v>
      </c>
      <c r="O533">
        <f>_xlfn.XLOOKUP(customer_satisfaction_cleaned[[#This Row],[Product Category]],Table2[Product Category],Table2[Delivery SLA (Days)],"NA",0)</f>
        <v>5</v>
      </c>
      <c r="P5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4" spans="1:16" x14ac:dyDescent="0.2">
      <c r="A534" t="s">
        <v>540</v>
      </c>
      <c r="B534" t="s">
        <v>23</v>
      </c>
      <c r="C534">
        <v>8</v>
      </c>
      <c r="D534">
        <v>3</v>
      </c>
      <c r="E534" t="s">
        <v>32</v>
      </c>
      <c r="F534">
        <v>88.61</v>
      </c>
      <c r="G534">
        <v>48</v>
      </c>
      <c r="H534" t="s">
        <v>14</v>
      </c>
      <c r="I534" t="s">
        <v>13</v>
      </c>
      <c r="J534" t="s">
        <v>15</v>
      </c>
      <c r="K534">
        <v>88.61</v>
      </c>
      <c r="L534" t="s">
        <v>16</v>
      </c>
      <c r="M534" t="s">
        <v>16</v>
      </c>
      <c r="N534" t="s">
        <v>923</v>
      </c>
      <c r="O534">
        <f>_xlfn.XLOOKUP(customer_satisfaction_cleaned[[#This Row],[Product Category]],Table2[Product Category],Table2[Delivery SLA (Days)],"NA",0)</f>
        <v>7</v>
      </c>
      <c r="P5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5" spans="1:16" x14ac:dyDescent="0.2">
      <c r="A535" t="s">
        <v>541</v>
      </c>
      <c r="B535" t="s">
        <v>12</v>
      </c>
      <c r="C535">
        <v>4</v>
      </c>
      <c r="D535">
        <v>1</v>
      </c>
      <c r="E535" t="s">
        <v>13</v>
      </c>
      <c r="F535">
        <v>80.98</v>
      </c>
      <c r="G535">
        <v>45</v>
      </c>
      <c r="H535" t="s">
        <v>42</v>
      </c>
      <c r="I535" t="s">
        <v>13</v>
      </c>
      <c r="J535" t="s">
        <v>25</v>
      </c>
      <c r="K535">
        <v>80.98</v>
      </c>
      <c r="L535" t="s">
        <v>16</v>
      </c>
      <c r="M535" t="s">
        <v>16</v>
      </c>
      <c r="N535" t="s">
        <v>923</v>
      </c>
      <c r="O535">
        <f>_xlfn.XLOOKUP(customer_satisfaction_cleaned[[#This Row],[Product Category]],Table2[Product Category],Table2[Delivery SLA (Days)],"NA",0)</f>
        <v>5</v>
      </c>
      <c r="P5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6" spans="1:16" x14ac:dyDescent="0.2">
      <c r="A536" t="s">
        <v>542</v>
      </c>
      <c r="B536" t="s">
        <v>18</v>
      </c>
      <c r="C536">
        <v>5</v>
      </c>
      <c r="D536">
        <v>3</v>
      </c>
      <c r="E536" t="s">
        <v>21</v>
      </c>
      <c r="F536">
        <v>178.49</v>
      </c>
      <c r="G536">
        <v>22</v>
      </c>
      <c r="H536" t="s">
        <v>20</v>
      </c>
      <c r="I536" t="s">
        <v>21</v>
      </c>
      <c r="J536" t="s">
        <v>20</v>
      </c>
      <c r="K536">
        <v>178.49</v>
      </c>
      <c r="L536" t="s">
        <v>16</v>
      </c>
      <c r="M536" t="s">
        <v>16</v>
      </c>
      <c r="N536" t="s">
        <v>924</v>
      </c>
      <c r="O536">
        <f>_xlfn.XLOOKUP(customer_satisfaction_cleaned[[#This Row],[Product Category]],Table2[Product Category],Table2[Delivery SLA (Days)],"NA",0)</f>
        <v>10</v>
      </c>
      <c r="P5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7" spans="1:16" x14ac:dyDescent="0.2">
      <c r="A537" t="s">
        <v>543</v>
      </c>
      <c r="B537" t="s">
        <v>12</v>
      </c>
      <c r="C537">
        <v>8</v>
      </c>
      <c r="D537">
        <v>4</v>
      </c>
      <c r="E537" t="s">
        <v>13</v>
      </c>
      <c r="F537">
        <v>78.69</v>
      </c>
      <c r="G537">
        <v>31</v>
      </c>
      <c r="H537" t="s">
        <v>14</v>
      </c>
      <c r="I537" t="s">
        <v>13</v>
      </c>
      <c r="J537" t="s">
        <v>15</v>
      </c>
      <c r="K537">
        <v>78.69</v>
      </c>
      <c r="L537" t="s">
        <v>16</v>
      </c>
      <c r="M537" t="s">
        <v>16</v>
      </c>
      <c r="N537" t="s">
        <v>923</v>
      </c>
      <c r="O537">
        <f>_xlfn.XLOOKUP(customer_satisfaction_cleaned[[#This Row],[Product Category]],Table2[Product Category],Table2[Delivery SLA (Days)],"NA",0)</f>
        <v>5</v>
      </c>
      <c r="P5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8" spans="1:16" x14ac:dyDescent="0.2">
      <c r="A538" t="s">
        <v>544</v>
      </c>
      <c r="B538" t="s">
        <v>18</v>
      </c>
      <c r="C538">
        <v>7</v>
      </c>
      <c r="D538">
        <v>2</v>
      </c>
      <c r="E538" t="s">
        <v>13</v>
      </c>
      <c r="F538">
        <v>37.53</v>
      </c>
      <c r="G538">
        <v>50</v>
      </c>
      <c r="H538" t="s">
        <v>15</v>
      </c>
      <c r="I538" t="s">
        <v>13</v>
      </c>
      <c r="J538" t="s">
        <v>15</v>
      </c>
      <c r="K538">
        <v>37.53</v>
      </c>
      <c r="L538" t="s">
        <v>16</v>
      </c>
      <c r="M538" t="s">
        <v>16</v>
      </c>
      <c r="N538" t="s">
        <v>923</v>
      </c>
      <c r="O538">
        <f>_xlfn.XLOOKUP(customer_satisfaction_cleaned[[#This Row],[Product Category]],Table2[Product Category],Table2[Delivery SLA (Days)],"NA",0)</f>
        <v>10</v>
      </c>
      <c r="P5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9" spans="1:16" x14ac:dyDescent="0.2">
      <c r="A539" t="s">
        <v>545</v>
      </c>
      <c r="B539" t="s">
        <v>12</v>
      </c>
      <c r="C539">
        <v>8</v>
      </c>
      <c r="D539">
        <v>3</v>
      </c>
      <c r="E539" t="s">
        <v>19</v>
      </c>
      <c r="F539">
        <v>7.7</v>
      </c>
      <c r="G539">
        <v>26</v>
      </c>
      <c r="H539" t="s">
        <v>29</v>
      </c>
      <c r="I539" t="s">
        <v>21</v>
      </c>
      <c r="J539" t="s">
        <v>25</v>
      </c>
      <c r="K539">
        <v>7.7</v>
      </c>
      <c r="L539" t="s">
        <v>16</v>
      </c>
      <c r="M539" t="s">
        <v>16</v>
      </c>
      <c r="N539" t="s">
        <v>924</v>
      </c>
      <c r="O539">
        <f>_xlfn.XLOOKUP(customer_satisfaction_cleaned[[#This Row],[Product Category]],Table2[Product Category],Table2[Delivery SLA (Days)],"NA",0)</f>
        <v>5</v>
      </c>
      <c r="P5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0" spans="1:16" x14ac:dyDescent="0.2">
      <c r="A540" t="s">
        <v>546</v>
      </c>
      <c r="B540" t="s">
        <v>47</v>
      </c>
      <c r="C540">
        <v>10</v>
      </c>
      <c r="D540">
        <v>4</v>
      </c>
      <c r="E540" t="s">
        <v>32</v>
      </c>
      <c r="F540">
        <v>83.14</v>
      </c>
      <c r="G540">
        <v>13</v>
      </c>
      <c r="H540" t="s">
        <v>15</v>
      </c>
      <c r="I540" t="s">
        <v>13</v>
      </c>
      <c r="J540" t="s">
        <v>15</v>
      </c>
      <c r="K540">
        <v>83.14</v>
      </c>
      <c r="L540" t="s">
        <v>16</v>
      </c>
      <c r="M540" t="s">
        <v>16</v>
      </c>
      <c r="N540" t="s">
        <v>926</v>
      </c>
      <c r="O540">
        <f>_xlfn.XLOOKUP(customer_satisfaction_cleaned[[#This Row],[Product Category]],Table2[Product Category],Table2[Delivery SLA (Days)],"NA",0)</f>
        <v>7</v>
      </c>
      <c r="P5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1" spans="1:16" x14ac:dyDescent="0.2">
      <c r="A541" t="s">
        <v>547</v>
      </c>
      <c r="B541" t="s">
        <v>23</v>
      </c>
      <c r="C541">
        <v>7</v>
      </c>
      <c r="D541">
        <v>2</v>
      </c>
      <c r="E541" t="s">
        <v>29</v>
      </c>
      <c r="F541">
        <v>68.489999999999995</v>
      </c>
      <c r="G541">
        <v>67</v>
      </c>
      <c r="H541" t="s">
        <v>29</v>
      </c>
      <c r="I541" t="s">
        <v>25</v>
      </c>
      <c r="J541" t="s">
        <v>25</v>
      </c>
      <c r="K541">
        <v>68.489999999999995</v>
      </c>
      <c r="L541" t="s">
        <v>16</v>
      </c>
      <c r="M541" t="s">
        <v>16</v>
      </c>
      <c r="N541" t="s">
        <v>925</v>
      </c>
      <c r="O541">
        <f>_xlfn.XLOOKUP(customer_satisfaction_cleaned[[#This Row],[Product Category]],Table2[Product Category],Table2[Delivery SLA (Days)],"NA",0)</f>
        <v>7</v>
      </c>
      <c r="P5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2" spans="1:16" x14ac:dyDescent="0.2">
      <c r="A542" t="s">
        <v>548</v>
      </c>
      <c r="B542" t="s">
        <v>12</v>
      </c>
      <c r="C542">
        <v>4</v>
      </c>
      <c r="D542">
        <v>6</v>
      </c>
      <c r="E542" t="s">
        <v>19</v>
      </c>
      <c r="F542">
        <v>75.38</v>
      </c>
      <c r="G542">
        <v>34</v>
      </c>
      <c r="H542" t="s">
        <v>42</v>
      </c>
      <c r="I542" t="s">
        <v>21</v>
      </c>
      <c r="J542" t="s">
        <v>25</v>
      </c>
      <c r="K542">
        <v>75.38</v>
      </c>
      <c r="L542" t="s">
        <v>16</v>
      </c>
      <c r="M542" t="s">
        <v>16</v>
      </c>
      <c r="N542" t="s">
        <v>923</v>
      </c>
      <c r="O542">
        <f>_xlfn.XLOOKUP(customer_satisfaction_cleaned[[#This Row],[Product Category]],Table2[Product Category],Table2[Delivery SLA (Days)],"NA",0)</f>
        <v>5</v>
      </c>
      <c r="P5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43" spans="1:16" x14ac:dyDescent="0.2">
      <c r="A543" t="s">
        <v>549</v>
      </c>
      <c r="B543" t="s">
        <v>47</v>
      </c>
      <c r="C543">
        <v>5</v>
      </c>
      <c r="D543">
        <v>9</v>
      </c>
      <c r="E543" t="s">
        <v>13</v>
      </c>
      <c r="F543">
        <v>74.069999999999993</v>
      </c>
      <c r="G543">
        <v>61</v>
      </c>
      <c r="H543" t="s">
        <v>44</v>
      </c>
      <c r="I543" t="s">
        <v>13</v>
      </c>
      <c r="J543" t="s">
        <v>20</v>
      </c>
      <c r="K543">
        <v>74.069999999999993</v>
      </c>
      <c r="L543" t="s">
        <v>16</v>
      </c>
      <c r="M543" t="s">
        <v>16</v>
      </c>
      <c r="N543" t="s">
        <v>925</v>
      </c>
      <c r="O543">
        <f>_xlfn.XLOOKUP(customer_satisfaction_cleaned[[#This Row],[Product Category]],Table2[Product Category],Table2[Delivery SLA (Days)],"NA",0)</f>
        <v>7</v>
      </c>
      <c r="P5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44" spans="1:16" x14ac:dyDescent="0.2">
      <c r="A544" t="s">
        <v>550</v>
      </c>
      <c r="B544" t="s">
        <v>12</v>
      </c>
      <c r="C544">
        <v>6</v>
      </c>
      <c r="D544">
        <v>4</v>
      </c>
      <c r="E544" t="s">
        <v>29</v>
      </c>
      <c r="F544">
        <v>135.76</v>
      </c>
      <c r="G544">
        <v>40</v>
      </c>
      <c r="H544" t="s">
        <v>20</v>
      </c>
      <c r="I544" t="s">
        <v>25</v>
      </c>
      <c r="J544" t="s">
        <v>20</v>
      </c>
      <c r="K544">
        <v>135.76</v>
      </c>
      <c r="L544" t="s">
        <v>16</v>
      </c>
      <c r="M544" t="s">
        <v>16</v>
      </c>
      <c r="N544" t="s">
        <v>923</v>
      </c>
      <c r="O544">
        <f>_xlfn.XLOOKUP(customer_satisfaction_cleaned[[#This Row],[Product Category]],Table2[Product Category],Table2[Delivery SLA (Days)],"NA",0)</f>
        <v>5</v>
      </c>
      <c r="P5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5" spans="1:16" x14ac:dyDescent="0.2">
      <c r="A545" t="s">
        <v>551</v>
      </c>
      <c r="B545" t="s">
        <v>12</v>
      </c>
      <c r="C545">
        <v>6</v>
      </c>
      <c r="D545">
        <v>4</v>
      </c>
      <c r="E545" t="s">
        <v>34</v>
      </c>
      <c r="F545">
        <v>149.83000000000001</v>
      </c>
      <c r="G545">
        <v>28</v>
      </c>
      <c r="H545" t="s">
        <v>14</v>
      </c>
      <c r="I545" t="s">
        <v>25</v>
      </c>
      <c r="J545" t="s">
        <v>15</v>
      </c>
      <c r="K545">
        <v>149.83000000000001</v>
      </c>
      <c r="L545" t="s">
        <v>16</v>
      </c>
      <c r="M545" t="s">
        <v>16</v>
      </c>
      <c r="N545" t="s">
        <v>924</v>
      </c>
      <c r="O545">
        <f>_xlfn.XLOOKUP(customer_satisfaction_cleaned[[#This Row],[Product Category]],Table2[Product Category],Table2[Delivery SLA (Days)],"NA",0)</f>
        <v>5</v>
      </c>
      <c r="P5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6" spans="1:16" x14ac:dyDescent="0.2">
      <c r="A546" t="s">
        <v>552</v>
      </c>
      <c r="B546" t="s">
        <v>18</v>
      </c>
      <c r="C546">
        <v>10</v>
      </c>
      <c r="D546">
        <v>3</v>
      </c>
      <c r="E546" t="s">
        <v>21</v>
      </c>
      <c r="F546">
        <v>203.78</v>
      </c>
      <c r="G546">
        <v>10</v>
      </c>
      <c r="H546" t="s">
        <v>15</v>
      </c>
      <c r="I546" t="s">
        <v>21</v>
      </c>
      <c r="J546" t="s">
        <v>15</v>
      </c>
      <c r="K546">
        <v>203.78</v>
      </c>
      <c r="L546" t="s">
        <v>16</v>
      </c>
      <c r="M546" t="s">
        <v>16</v>
      </c>
      <c r="N546" t="s">
        <v>926</v>
      </c>
      <c r="O546">
        <f>_xlfn.XLOOKUP(customer_satisfaction_cleaned[[#This Row],[Product Category]],Table2[Product Category],Table2[Delivery SLA (Days)],"NA",0)</f>
        <v>10</v>
      </c>
      <c r="P5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7" spans="1:16" x14ac:dyDescent="0.2">
      <c r="A547" t="s">
        <v>553</v>
      </c>
      <c r="B547" t="s">
        <v>18</v>
      </c>
      <c r="C547">
        <v>9</v>
      </c>
      <c r="D547">
        <v>6</v>
      </c>
      <c r="E547" t="s">
        <v>13</v>
      </c>
      <c r="F547">
        <v>93.21</v>
      </c>
      <c r="G547">
        <v>56</v>
      </c>
      <c r="H547" t="s">
        <v>15</v>
      </c>
      <c r="I547" t="s">
        <v>13</v>
      </c>
      <c r="J547" t="s">
        <v>15</v>
      </c>
      <c r="K547">
        <v>93.21</v>
      </c>
      <c r="L547" t="s">
        <v>16</v>
      </c>
      <c r="M547" t="s">
        <v>16</v>
      </c>
      <c r="N547" t="s">
        <v>923</v>
      </c>
      <c r="O547">
        <f>_xlfn.XLOOKUP(customer_satisfaction_cleaned[[#This Row],[Product Category]],Table2[Product Category],Table2[Delivery SLA (Days)],"NA",0)</f>
        <v>10</v>
      </c>
      <c r="P5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8" spans="1:16" x14ac:dyDescent="0.2">
      <c r="A548" t="s">
        <v>554</v>
      </c>
      <c r="B548" t="s">
        <v>47</v>
      </c>
      <c r="C548">
        <v>4</v>
      </c>
      <c r="D548">
        <v>6</v>
      </c>
      <c r="E548" t="s">
        <v>13</v>
      </c>
      <c r="F548">
        <v>86.89</v>
      </c>
      <c r="G548">
        <v>37</v>
      </c>
      <c r="H548" t="s">
        <v>15</v>
      </c>
      <c r="I548" t="s">
        <v>13</v>
      </c>
      <c r="J548" t="s">
        <v>15</v>
      </c>
      <c r="K548">
        <v>86.89</v>
      </c>
      <c r="L548" t="s">
        <v>16</v>
      </c>
      <c r="M548" t="s">
        <v>16</v>
      </c>
      <c r="N548" t="s">
        <v>923</v>
      </c>
      <c r="O548">
        <f>_xlfn.XLOOKUP(customer_satisfaction_cleaned[[#This Row],[Product Category]],Table2[Product Category],Table2[Delivery SLA (Days)],"NA",0)</f>
        <v>7</v>
      </c>
      <c r="P5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9" spans="1:16" x14ac:dyDescent="0.2">
      <c r="A549" t="s">
        <v>555</v>
      </c>
      <c r="B549" t="s">
        <v>23</v>
      </c>
      <c r="C549">
        <v>2</v>
      </c>
      <c r="D549">
        <v>4</v>
      </c>
      <c r="E549" t="s">
        <v>19</v>
      </c>
      <c r="F549">
        <v>124.24</v>
      </c>
      <c r="G549">
        <v>38</v>
      </c>
      <c r="H549" t="s">
        <v>20</v>
      </c>
      <c r="I549" t="s">
        <v>21</v>
      </c>
      <c r="J549" t="s">
        <v>20</v>
      </c>
      <c r="K549">
        <v>124.24</v>
      </c>
      <c r="L549" t="s">
        <v>16</v>
      </c>
      <c r="M549" t="s">
        <v>16</v>
      </c>
      <c r="N549" t="s">
        <v>923</v>
      </c>
      <c r="O549">
        <f>_xlfn.XLOOKUP(customer_satisfaction_cleaned[[#This Row],[Product Category]],Table2[Product Category],Table2[Delivery SLA (Days)],"NA",0)</f>
        <v>7</v>
      </c>
      <c r="P5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0" spans="1:16" x14ac:dyDescent="0.2">
      <c r="A550" t="s">
        <v>556</v>
      </c>
      <c r="B550" t="s">
        <v>23</v>
      </c>
      <c r="C550">
        <v>5</v>
      </c>
      <c r="D550">
        <v>6</v>
      </c>
      <c r="E550" t="s">
        <v>19</v>
      </c>
      <c r="F550">
        <v>7013</v>
      </c>
      <c r="G550">
        <v>42</v>
      </c>
      <c r="H550" t="s">
        <v>24</v>
      </c>
      <c r="I550" t="s">
        <v>21</v>
      </c>
      <c r="J550" t="s">
        <v>25</v>
      </c>
      <c r="K550">
        <v>7013</v>
      </c>
      <c r="L550" t="s">
        <v>16</v>
      </c>
      <c r="M550" t="s">
        <v>16</v>
      </c>
      <c r="N550" t="s">
        <v>923</v>
      </c>
      <c r="O550">
        <f>_xlfn.XLOOKUP(customer_satisfaction_cleaned[[#This Row],[Product Category]],Table2[Product Category],Table2[Delivery SLA (Days)],"NA",0)</f>
        <v>7</v>
      </c>
      <c r="P5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1" spans="1:16" x14ac:dyDescent="0.2">
      <c r="A551" t="s">
        <v>557</v>
      </c>
      <c r="B551" t="s">
        <v>47</v>
      </c>
      <c r="C551">
        <v>10</v>
      </c>
      <c r="D551">
        <v>2</v>
      </c>
      <c r="E551" t="s">
        <v>13</v>
      </c>
      <c r="F551">
        <v>44.78</v>
      </c>
      <c r="G551">
        <v>17</v>
      </c>
      <c r="H551" t="s">
        <v>20</v>
      </c>
      <c r="I551" t="s">
        <v>13</v>
      </c>
      <c r="J551" t="s">
        <v>20</v>
      </c>
      <c r="K551">
        <v>44.78</v>
      </c>
      <c r="L551" t="s">
        <v>16</v>
      </c>
      <c r="M551" t="s">
        <v>16</v>
      </c>
      <c r="N551" t="s">
        <v>924</v>
      </c>
      <c r="O551">
        <f>_xlfn.XLOOKUP(customer_satisfaction_cleaned[[#This Row],[Product Category]],Table2[Product Category],Table2[Delivery SLA (Days)],"NA",0)</f>
        <v>7</v>
      </c>
      <c r="P5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2" spans="1:16" x14ac:dyDescent="0.2">
      <c r="A552" t="s">
        <v>558</v>
      </c>
      <c r="B552" t="s">
        <v>12</v>
      </c>
      <c r="C552">
        <v>5</v>
      </c>
      <c r="D552">
        <v>6</v>
      </c>
      <c r="E552" t="s">
        <v>19</v>
      </c>
      <c r="F552">
        <v>69.239999999999995</v>
      </c>
      <c r="G552">
        <v>33</v>
      </c>
      <c r="H552" t="s">
        <v>42</v>
      </c>
      <c r="I552" t="s">
        <v>21</v>
      </c>
      <c r="J552" t="s">
        <v>25</v>
      </c>
      <c r="K552">
        <v>69.239999999999995</v>
      </c>
      <c r="L552" t="s">
        <v>16</v>
      </c>
      <c r="M552" t="s">
        <v>16</v>
      </c>
      <c r="N552" t="s">
        <v>923</v>
      </c>
      <c r="O552">
        <f>_xlfn.XLOOKUP(customer_satisfaction_cleaned[[#This Row],[Product Category]],Table2[Product Category],Table2[Delivery SLA (Days)],"NA",0)</f>
        <v>5</v>
      </c>
      <c r="P5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53" spans="1:16" x14ac:dyDescent="0.2">
      <c r="A553" t="s">
        <v>559</v>
      </c>
      <c r="B553" t="s">
        <v>12</v>
      </c>
      <c r="C553">
        <v>7</v>
      </c>
      <c r="D553">
        <v>2</v>
      </c>
      <c r="E553" t="s">
        <v>34</v>
      </c>
      <c r="F553">
        <v>171.29</v>
      </c>
      <c r="G553">
        <v>19</v>
      </c>
      <c r="H553" t="s">
        <v>34</v>
      </c>
      <c r="I553" t="s">
        <v>25</v>
      </c>
      <c r="J553" t="s">
        <v>25</v>
      </c>
      <c r="K553">
        <v>171.29</v>
      </c>
      <c r="L553" t="s">
        <v>16</v>
      </c>
      <c r="M553" t="s">
        <v>16</v>
      </c>
      <c r="N553" t="s">
        <v>924</v>
      </c>
      <c r="O553">
        <f>_xlfn.XLOOKUP(customer_satisfaction_cleaned[[#This Row],[Product Category]],Table2[Product Category],Table2[Delivery SLA (Days)],"NA",0)</f>
        <v>5</v>
      </c>
      <c r="P5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4" spans="1:16" x14ac:dyDescent="0.2">
      <c r="A554" t="s">
        <v>560</v>
      </c>
      <c r="B554" t="s">
        <v>18</v>
      </c>
      <c r="C554">
        <v>8</v>
      </c>
      <c r="D554">
        <v>4</v>
      </c>
      <c r="E554" t="s">
        <v>21</v>
      </c>
      <c r="F554">
        <v>39.299999999999997</v>
      </c>
      <c r="G554">
        <v>33</v>
      </c>
      <c r="H554" t="s">
        <v>24</v>
      </c>
      <c r="I554" t="s">
        <v>21</v>
      </c>
      <c r="J554" t="s">
        <v>25</v>
      </c>
      <c r="K554">
        <v>39.299999999999997</v>
      </c>
      <c r="L554" t="s">
        <v>16</v>
      </c>
      <c r="M554" t="s">
        <v>16</v>
      </c>
      <c r="N554" t="s">
        <v>923</v>
      </c>
      <c r="O554">
        <f>_xlfn.XLOOKUP(customer_satisfaction_cleaned[[#This Row],[Product Category]],Table2[Product Category],Table2[Delivery SLA (Days)],"NA",0)</f>
        <v>10</v>
      </c>
      <c r="P5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5" spans="1:16" x14ac:dyDescent="0.2">
      <c r="A555" t="s">
        <v>561</v>
      </c>
      <c r="B555" t="s">
        <v>18</v>
      </c>
      <c r="C555">
        <v>7</v>
      </c>
      <c r="D555">
        <v>3</v>
      </c>
      <c r="E555" t="s">
        <v>32</v>
      </c>
      <c r="F555">
        <v>40.01</v>
      </c>
      <c r="G555">
        <v>39</v>
      </c>
      <c r="H555" t="s">
        <v>15</v>
      </c>
      <c r="I555" t="s">
        <v>13</v>
      </c>
      <c r="J555" t="s">
        <v>15</v>
      </c>
      <c r="K555">
        <v>40.01</v>
      </c>
      <c r="L555" t="s">
        <v>16</v>
      </c>
      <c r="M555" t="s">
        <v>16</v>
      </c>
      <c r="N555" t="s">
        <v>923</v>
      </c>
      <c r="O555">
        <f>_xlfn.XLOOKUP(customer_satisfaction_cleaned[[#This Row],[Product Category]],Table2[Product Category],Table2[Delivery SLA (Days)],"NA",0)</f>
        <v>10</v>
      </c>
      <c r="P5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6" spans="1:16" x14ac:dyDescent="0.2">
      <c r="A556" t="s">
        <v>562</v>
      </c>
      <c r="B556" t="s">
        <v>36</v>
      </c>
      <c r="D556">
        <v>6</v>
      </c>
      <c r="E556" t="s">
        <v>21</v>
      </c>
      <c r="F556">
        <v>18.760000000000002</v>
      </c>
      <c r="G556">
        <v>38</v>
      </c>
      <c r="H556" t="s">
        <v>44</v>
      </c>
      <c r="I556" t="s">
        <v>21</v>
      </c>
      <c r="J556" t="s">
        <v>20</v>
      </c>
      <c r="K556">
        <v>18.760000000000002</v>
      </c>
      <c r="L556" t="s">
        <v>936</v>
      </c>
      <c r="M556" t="s">
        <v>16</v>
      </c>
      <c r="N556" t="s">
        <v>923</v>
      </c>
      <c r="O556" t="str">
        <f>_xlfn.XLOOKUP(customer_satisfaction_cleaned[[#This Row],[Product Category]],Table2[Product Category],Table2[Delivery SLA (Days)],"NA",0)</f>
        <v>NA</v>
      </c>
      <c r="P5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57" spans="1:16" x14ac:dyDescent="0.2">
      <c r="A557" t="s">
        <v>563</v>
      </c>
      <c r="B557" t="s">
        <v>18</v>
      </c>
      <c r="C557">
        <v>9</v>
      </c>
      <c r="E557" t="s">
        <v>19</v>
      </c>
      <c r="F557">
        <v>101.7</v>
      </c>
      <c r="G557">
        <v>47</v>
      </c>
      <c r="H557" t="s">
        <v>20</v>
      </c>
      <c r="I557" t="s">
        <v>21</v>
      </c>
      <c r="J557" t="s">
        <v>20</v>
      </c>
      <c r="K557">
        <v>101.7</v>
      </c>
      <c r="L557" t="s">
        <v>16</v>
      </c>
      <c r="M557" t="s">
        <v>937</v>
      </c>
      <c r="N557" t="s">
        <v>923</v>
      </c>
      <c r="O557">
        <f>_xlfn.XLOOKUP(customer_satisfaction_cleaned[[#This Row],[Product Category]],Table2[Product Category],Table2[Delivery SLA (Days)],"NA",0)</f>
        <v>10</v>
      </c>
      <c r="P5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58" spans="1:16" x14ac:dyDescent="0.2">
      <c r="A558" t="s">
        <v>564</v>
      </c>
      <c r="B558" t="s">
        <v>23</v>
      </c>
      <c r="C558">
        <v>9</v>
      </c>
      <c r="D558">
        <v>4</v>
      </c>
      <c r="E558" t="s">
        <v>19</v>
      </c>
      <c r="F558">
        <v>167.7</v>
      </c>
      <c r="G558">
        <v>42</v>
      </c>
      <c r="H558" t="s">
        <v>44</v>
      </c>
      <c r="I558" t="s">
        <v>21</v>
      </c>
      <c r="J558" t="s">
        <v>20</v>
      </c>
      <c r="K558">
        <v>167.7</v>
      </c>
      <c r="L558" t="s">
        <v>16</v>
      </c>
      <c r="M558" t="s">
        <v>16</v>
      </c>
      <c r="N558" t="s">
        <v>923</v>
      </c>
      <c r="O558">
        <f>_xlfn.XLOOKUP(customer_satisfaction_cleaned[[#This Row],[Product Category]],Table2[Product Category],Table2[Delivery SLA (Days)],"NA",0)</f>
        <v>7</v>
      </c>
      <c r="P5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9" spans="1:16" x14ac:dyDescent="0.2">
      <c r="A559" t="s">
        <v>565</v>
      </c>
      <c r="B559" t="s">
        <v>23</v>
      </c>
      <c r="C559">
        <v>6</v>
      </c>
      <c r="D559">
        <v>5</v>
      </c>
      <c r="E559" t="s">
        <v>19</v>
      </c>
      <c r="F559">
        <v>57.98</v>
      </c>
      <c r="G559">
        <v>33</v>
      </c>
      <c r="H559" t="s">
        <v>42</v>
      </c>
      <c r="I559" t="s">
        <v>21</v>
      </c>
      <c r="J559" t="s">
        <v>25</v>
      </c>
      <c r="K559">
        <v>57.98</v>
      </c>
      <c r="L559" t="s">
        <v>16</v>
      </c>
      <c r="M559" t="s">
        <v>16</v>
      </c>
      <c r="N559" t="s">
        <v>923</v>
      </c>
      <c r="O559">
        <f>_xlfn.XLOOKUP(customer_satisfaction_cleaned[[#This Row],[Product Category]],Table2[Product Category],Table2[Delivery SLA (Days)],"NA",0)</f>
        <v>7</v>
      </c>
      <c r="P5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0" spans="1:16" x14ac:dyDescent="0.2">
      <c r="A560" t="s">
        <v>566</v>
      </c>
      <c r="B560" t="s">
        <v>12</v>
      </c>
      <c r="C560">
        <v>6</v>
      </c>
      <c r="D560">
        <v>5</v>
      </c>
      <c r="E560" t="s">
        <v>29</v>
      </c>
      <c r="F560">
        <v>40.700000000000003</v>
      </c>
      <c r="G560">
        <v>34</v>
      </c>
      <c r="H560" t="s">
        <v>42</v>
      </c>
      <c r="I560" t="s">
        <v>25</v>
      </c>
      <c r="J560" t="s">
        <v>25</v>
      </c>
      <c r="K560">
        <v>40.700000000000003</v>
      </c>
      <c r="L560" t="s">
        <v>16</v>
      </c>
      <c r="M560" t="s">
        <v>16</v>
      </c>
      <c r="N560" t="s">
        <v>923</v>
      </c>
      <c r="O560">
        <f>_xlfn.XLOOKUP(customer_satisfaction_cleaned[[#This Row],[Product Category]],Table2[Product Category],Table2[Delivery SLA (Days)],"NA",0)</f>
        <v>5</v>
      </c>
      <c r="P5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1" spans="1:16" x14ac:dyDescent="0.2">
      <c r="A561" t="s">
        <v>567</v>
      </c>
      <c r="B561" t="s">
        <v>23</v>
      </c>
      <c r="C561">
        <v>7</v>
      </c>
      <c r="D561">
        <v>5</v>
      </c>
      <c r="E561" t="s">
        <v>21</v>
      </c>
      <c r="F561">
        <v>114.1</v>
      </c>
      <c r="G561">
        <v>41</v>
      </c>
      <c r="H561" t="s">
        <v>29</v>
      </c>
      <c r="I561" t="s">
        <v>21</v>
      </c>
      <c r="J561" t="s">
        <v>25</v>
      </c>
      <c r="K561">
        <v>114.1</v>
      </c>
      <c r="L561" t="s">
        <v>16</v>
      </c>
      <c r="M561" t="s">
        <v>16</v>
      </c>
      <c r="N561" t="s">
        <v>923</v>
      </c>
      <c r="O561">
        <f>_xlfn.XLOOKUP(customer_satisfaction_cleaned[[#This Row],[Product Category]],Table2[Product Category],Table2[Delivery SLA (Days)],"NA",0)</f>
        <v>7</v>
      </c>
      <c r="P5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2" spans="1:16" x14ac:dyDescent="0.2">
      <c r="A562" t="s">
        <v>568</v>
      </c>
      <c r="B562" t="s">
        <v>12</v>
      </c>
      <c r="C562">
        <v>10</v>
      </c>
      <c r="D562">
        <v>5</v>
      </c>
      <c r="E562" t="s">
        <v>21</v>
      </c>
      <c r="F562">
        <v>220.5</v>
      </c>
      <c r="G562">
        <v>33</v>
      </c>
      <c r="H562" t="s">
        <v>24</v>
      </c>
      <c r="I562" t="s">
        <v>21</v>
      </c>
      <c r="J562" t="s">
        <v>25</v>
      </c>
      <c r="K562">
        <v>220.5</v>
      </c>
      <c r="L562" t="s">
        <v>16</v>
      </c>
      <c r="M562" t="s">
        <v>16</v>
      </c>
      <c r="N562" t="s">
        <v>923</v>
      </c>
      <c r="O562">
        <f>_xlfn.XLOOKUP(customer_satisfaction_cleaned[[#This Row],[Product Category]],Table2[Product Category],Table2[Delivery SLA (Days)],"NA",0)</f>
        <v>5</v>
      </c>
      <c r="P5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3" spans="1:16" x14ac:dyDescent="0.2">
      <c r="A563" t="s">
        <v>569</v>
      </c>
      <c r="B563" t="s">
        <v>23</v>
      </c>
      <c r="C563">
        <v>9</v>
      </c>
      <c r="D563">
        <v>6</v>
      </c>
      <c r="E563" t="s">
        <v>19</v>
      </c>
      <c r="F563">
        <v>28.94</v>
      </c>
      <c r="G563">
        <v>39</v>
      </c>
      <c r="H563" t="s">
        <v>42</v>
      </c>
      <c r="I563" t="s">
        <v>21</v>
      </c>
      <c r="J563" t="s">
        <v>25</v>
      </c>
      <c r="K563">
        <v>28.94</v>
      </c>
      <c r="L563" t="s">
        <v>16</v>
      </c>
      <c r="M563" t="s">
        <v>16</v>
      </c>
      <c r="N563" t="s">
        <v>923</v>
      </c>
      <c r="O563">
        <f>_xlfn.XLOOKUP(customer_satisfaction_cleaned[[#This Row],[Product Category]],Table2[Product Category],Table2[Delivery SLA (Days)],"NA",0)</f>
        <v>7</v>
      </c>
      <c r="P5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4" spans="1:16" x14ac:dyDescent="0.2">
      <c r="A564" t="s">
        <v>17</v>
      </c>
      <c r="B564" t="s">
        <v>18</v>
      </c>
      <c r="C564">
        <v>7</v>
      </c>
      <c r="E564" t="s">
        <v>13</v>
      </c>
      <c r="F564">
        <v>109.36</v>
      </c>
      <c r="G564">
        <v>39</v>
      </c>
      <c r="H564" t="s">
        <v>20</v>
      </c>
      <c r="I564" t="s">
        <v>13</v>
      </c>
      <c r="J564" t="s">
        <v>20</v>
      </c>
      <c r="K564">
        <v>109.36</v>
      </c>
      <c r="L564" t="s">
        <v>16</v>
      </c>
      <c r="M564" t="s">
        <v>937</v>
      </c>
      <c r="N564" t="s">
        <v>923</v>
      </c>
      <c r="O564">
        <f>_xlfn.XLOOKUP(customer_satisfaction_cleaned[[#This Row],[Product Category]],Table2[Product Category],Table2[Delivery SLA (Days)],"NA",0)</f>
        <v>10</v>
      </c>
      <c r="P5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65" spans="1:16" x14ac:dyDescent="0.2">
      <c r="A565" t="s">
        <v>570</v>
      </c>
      <c r="B565" t="s">
        <v>47</v>
      </c>
      <c r="C565">
        <v>7</v>
      </c>
      <c r="D565">
        <v>4</v>
      </c>
      <c r="E565" t="s">
        <v>21</v>
      </c>
      <c r="F565">
        <v>123.34</v>
      </c>
      <c r="G565">
        <v>52</v>
      </c>
      <c r="H565" t="s">
        <v>24</v>
      </c>
      <c r="I565" t="s">
        <v>21</v>
      </c>
      <c r="J565" t="s">
        <v>25</v>
      </c>
      <c r="K565">
        <v>123.34</v>
      </c>
      <c r="L565" t="s">
        <v>16</v>
      </c>
      <c r="M565" t="s">
        <v>16</v>
      </c>
      <c r="N565" t="s">
        <v>923</v>
      </c>
      <c r="O565">
        <f>_xlfn.XLOOKUP(customer_satisfaction_cleaned[[#This Row],[Product Category]],Table2[Product Category],Table2[Delivery SLA (Days)],"NA",0)</f>
        <v>7</v>
      </c>
      <c r="P5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6" spans="1:16" x14ac:dyDescent="0.2">
      <c r="A566" t="s">
        <v>571</v>
      </c>
      <c r="B566" t="s">
        <v>23</v>
      </c>
      <c r="C566">
        <v>4</v>
      </c>
      <c r="D566">
        <v>5</v>
      </c>
      <c r="E566" t="s">
        <v>29</v>
      </c>
      <c r="F566">
        <v>46.5</v>
      </c>
      <c r="G566">
        <v>31</v>
      </c>
      <c r="H566" t="s">
        <v>20</v>
      </c>
      <c r="I566" t="s">
        <v>25</v>
      </c>
      <c r="J566" t="s">
        <v>20</v>
      </c>
      <c r="K566">
        <v>46.5</v>
      </c>
      <c r="L566" t="s">
        <v>16</v>
      </c>
      <c r="M566" t="s">
        <v>16</v>
      </c>
      <c r="N566" t="s">
        <v>923</v>
      </c>
      <c r="O566">
        <f>_xlfn.XLOOKUP(customer_satisfaction_cleaned[[#This Row],[Product Category]],Table2[Product Category],Table2[Delivery SLA (Days)],"NA",0)</f>
        <v>7</v>
      </c>
      <c r="P5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7" spans="1:16" x14ac:dyDescent="0.2">
      <c r="A567" t="s">
        <v>17</v>
      </c>
      <c r="B567" t="s">
        <v>18</v>
      </c>
      <c r="C567">
        <v>8</v>
      </c>
      <c r="D567">
        <v>5</v>
      </c>
      <c r="E567" t="s">
        <v>21</v>
      </c>
      <c r="F567">
        <v>195.08</v>
      </c>
      <c r="G567">
        <v>51</v>
      </c>
      <c r="H567" t="s">
        <v>24</v>
      </c>
      <c r="I567" t="s">
        <v>21</v>
      </c>
      <c r="J567" t="s">
        <v>25</v>
      </c>
      <c r="K567">
        <v>195.08</v>
      </c>
      <c r="L567" t="s">
        <v>16</v>
      </c>
      <c r="M567" t="s">
        <v>16</v>
      </c>
      <c r="N567" t="s">
        <v>923</v>
      </c>
      <c r="O567">
        <f>_xlfn.XLOOKUP(customer_satisfaction_cleaned[[#This Row],[Product Category]],Table2[Product Category],Table2[Delivery SLA (Days)],"NA",0)</f>
        <v>10</v>
      </c>
      <c r="P5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8" spans="1:16" x14ac:dyDescent="0.2">
      <c r="A568" t="s">
        <v>572</v>
      </c>
      <c r="B568" t="s">
        <v>18</v>
      </c>
      <c r="C568">
        <v>5</v>
      </c>
      <c r="D568">
        <v>6</v>
      </c>
      <c r="E568" t="s">
        <v>32</v>
      </c>
      <c r="F568">
        <v>57.43</v>
      </c>
      <c r="G568">
        <v>11</v>
      </c>
      <c r="H568" t="s">
        <v>14</v>
      </c>
      <c r="I568" t="s">
        <v>13</v>
      </c>
      <c r="J568" t="s">
        <v>15</v>
      </c>
      <c r="K568">
        <v>57.43</v>
      </c>
      <c r="L568" t="s">
        <v>16</v>
      </c>
      <c r="M568" t="s">
        <v>16</v>
      </c>
      <c r="N568" t="s">
        <v>926</v>
      </c>
      <c r="O568">
        <f>_xlfn.XLOOKUP(customer_satisfaction_cleaned[[#This Row],[Product Category]],Table2[Product Category],Table2[Delivery SLA (Days)],"NA",0)</f>
        <v>10</v>
      </c>
      <c r="P5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9" spans="1:16" x14ac:dyDescent="0.2">
      <c r="A569" t="s">
        <v>17</v>
      </c>
      <c r="B569" t="s">
        <v>18</v>
      </c>
      <c r="C569">
        <v>3</v>
      </c>
      <c r="D569">
        <v>5</v>
      </c>
      <c r="E569" t="s">
        <v>19</v>
      </c>
      <c r="F569">
        <v>58.44</v>
      </c>
      <c r="G569">
        <v>28</v>
      </c>
      <c r="H569" t="s">
        <v>44</v>
      </c>
      <c r="I569" t="s">
        <v>21</v>
      </c>
      <c r="J569" t="s">
        <v>20</v>
      </c>
      <c r="K569">
        <v>58.44</v>
      </c>
      <c r="L569" t="s">
        <v>16</v>
      </c>
      <c r="M569" t="s">
        <v>16</v>
      </c>
      <c r="N569" t="s">
        <v>924</v>
      </c>
      <c r="O569">
        <f>_xlfn.XLOOKUP(customer_satisfaction_cleaned[[#This Row],[Product Category]],Table2[Product Category],Table2[Delivery SLA (Days)],"NA",0)</f>
        <v>10</v>
      </c>
      <c r="P5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0" spans="1:16" x14ac:dyDescent="0.2">
      <c r="A570" t="s">
        <v>573</v>
      </c>
      <c r="B570" t="s">
        <v>47</v>
      </c>
      <c r="C570">
        <v>4</v>
      </c>
      <c r="D570">
        <v>6</v>
      </c>
      <c r="E570" t="s">
        <v>34</v>
      </c>
      <c r="F570">
        <v>158.58000000000001</v>
      </c>
      <c r="G570">
        <v>31</v>
      </c>
      <c r="H570" t="s">
        <v>44</v>
      </c>
      <c r="I570" t="s">
        <v>25</v>
      </c>
      <c r="J570" t="s">
        <v>20</v>
      </c>
      <c r="K570">
        <v>158.58000000000001</v>
      </c>
      <c r="L570" t="s">
        <v>16</v>
      </c>
      <c r="M570" t="s">
        <v>16</v>
      </c>
      <c r="N570" t="s">
        <v>923</v>
      </c>
      <c r="O570">
        <f>_xlfn.XLOOKUP(customer_satisfaction_cleaned[[#This Row],[Product Category]],Table2[Product Category],Table2[Delivery SLA (Days)],"NA",0)</f>
        <v>7</v>
      </c>
      <c r="P5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1" spans="1:16" x14ac:dyDescent="0.2">
      <c r="A571" t="s">
        <v>574</v>
      </c>
      <c r="B571" t="s">
        <v>36</v>
      </c>
      <c r="C571">
        <v>8</v>
      </c>
      <c r="E571" t="s">
        <v>32</v>
      </c>
      <c r="F571">
        <v>26.2</v>
      </c>
      <c r="G571">
        <v>15</v>
      </c>
      <c r="H571" t="s">
        <v>15</v>
      </c>
      <c r="I571" t="s">
        <v>13</v>
      </c>
      <c r="J571" t="s">
        <v>15</v>
      </c>
      <c r="K571">
        <v>26.2</v>
      </c>
      <c r="L571" t="s">
        <v>16</v>
      </c>
      <c r="M571" t="s">
        <v>937</v>
      </c>
      <c r="N571" t="s">
        <v>924</v>
      </c>
      <c r="O571" t="str">
        <f>_xlfn.XLOOKUP(customer_satisfaction_cleaned[[#This Row],[Product Category]],Table2[Product Category],Table2[Delivery SLA (Days)],"NA",0)</f>
        <v>NA</v>
      </c>
      <c r="P5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72" spans="1:16" x14ac:dyDescent="0.2">
      <c r="A572" t="s">
        <v>575</v>
      </c>
      <c r="B572" t="s">
        <v>47</v>
      </c>
      <c r="C572">
        <v>6</v>
      </c>
      <c r="D572">
        <v>5</v>
      </c>
      <c r="E572" t="s">
        <v>34</v>
      </c>
      <c r="F572">
        <v>181.16</v>
      </c>
      <c r="G572">
        <v>26</v>
      </c>
      <c r="H572" t="s">
        <v>29</v>
      </c>
      <c r="I572" t="s">
        <v>25</v>
      </c>
      <c r="J572" t="s">
        <v>25</v>
      </c>
      <c r="K572">
        <v>181.16</v>
      </c>
      <c r="L572" t="s">
        <v>16</v>
      </c>
      <c r="M572" t="s">
        <v>16</v>
      </c>
      <c r="N572" t="s">
        <v>924</v>
      </c>
      <c r="O572">
        <f>_xlfn.XLOOKUP(customer_satisfaction_cleaned[[#This Row],[Product Category]],Table2[Product Category],Table2[Delivery SLA (Days)],"NA",0)</f>
        <v>7</v>
      </c>
      <c r="P5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3" spans="1:16" x14ac:dyDescent="0.2">
      <c r="A573" t="s">
        <v>576</v>
      </c>
      <c r="B573" t="s">
        <v>18</v>
      </c>
      <c r="C573">
        <v>5</v>
      </c>
      <c r="D573">
        <v>6</v>
      </c>
      <c r="E573" t="s">
        <v>32</v>
      </c>
      <c r="F573">
        <v>63.62</v>
      </c>
      <c r="G573">
        <v>41</v>
      </c>
      <c r="H573" t="s">
        <v>29</v>
      </c>
      <c r="I573" t="s">
        <v>13</v>
      </c>
      <c r="J573" t="s">
        <v>25</v>
      </c>
      <c r="K573">
        <v>63.62</v>
      </c>
      <c r="L573" t="s">
        <v>16</v>
      </c>
      <c r="M573" t="s">
        <v>16</v>
      </c>
      <c r="N573" t="s">
        <v>923</v>
      </c>
      <c r="O573">
        <f>_xlfn.XLOOKUP(customer_satisfaction_cleaned[[#This Row],[Product Category]],Table2[Product Category],Table2[Delivery SLA (Days)],"NA",0)</f>
        <v>10</v>
      </c>
      <c r="P5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4" spans="1:16" x14ac:dyDescent="0.2">
      <c r="A574" t="s">
        <v>121</v>
      </c>
      <c r="B574" t="s">
        <v>23</v>
      </c>
      <c r="C574">
        <v>7</v>
      </c>
      <c r="D574">
        <v>6</v>
      </c>
      <c r="E574" t="s">
        <v>32</v>
      </c>
      <c r="F574">
        <v>29.18</v>
      </c>
      <c r="G574">
        <v>53</v>
      </c>
      <c r="H574" t="s">
        <v>42</v>
      </c>
      <c r="I574" t="s">
        <v>13</v>
      </c>
      <c r="J574" t="s">
        <v>25</v>
      </c>
      <c r="K574">
        <v>29.18</v>
      </c>
      <c r="L574" t="s">
        <v>16</v>
      </c>
      <c r="M574" t="s">
        <v>16</v>
      </c>
      <c r="N574" t="s">
        <v>923</v>
      </c>
      <c r="O574">
        <f>_xlfn.XLOOKUP(customer_satisfaction_cleaned[[#This Row],[Product Category]],Table2[Product Category],Table2[Delivery SLA (Days)],"NA",0)</f>
        <v>7</v>
      </c>
      <c r="P5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5" spans="1:16" x14ac:dyDescent="0.2">
      <c r="A575" t="s">
        <v>577</v>
      </c>
      <c r="B575" t="s">
        <v>12</v>
      </c>
      <c r="C575">
        <v>1</v>
      </c>
      <c r="D575">
        <v>5</v>
      </c>
      <c r="E575" t="s">
        <v>13</v>
      </c>
      <c r="F575">
        <v>13.37</v>
      </c>
      <c r="G575">
        <v>39</v>
      </c>
      <c r="H575" t="s">
        <v>14</v>
      </c>
      <c r="I575" t="s">
        <v>13</v>
      </c>
      <c r="J575" t="s">
        <v>15</v>
      </c>
      <c r="K575">
        <v>13.37</v>
      </c>
      <c r="L575" t="s">
        <v>16</v>
      </c>
      <c r="M575" t="s">
        <v>16</v>
      </c>
      <c r="N575" t="s">
        <v>923</v>
      </c>
      <c r="O575">
        <f>_xlfn.XLOOKUP(customer_satisfaction_cleaned[[#This Row],[Product Category]],Table2[Product Category],Table2[Delivery SLA (Days)],"NA",0)</f>
        <v>5</v>
      </c>
      <c r="P5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6" spans="1:16" x14ac:dyDescent="0.2">
      <c r="A576" t="s">
        <v>578</v>
      </c>
      <c r="B576" t="s">
        <v>12</v>
      </c>
      <c r="C576">
        <v>6</v>
      </c>
      <c r="D576">
        <v>3</v>
      </c>
      <c r="E576" t="s">
        <v>21</v>
      </c>
      <c r="F576">
        <v>132.75</v>
      </c>
      <c r="G576">
        <v>36</v>
      </c>
      <c r="H576" t="s">
        <v>44</v>
      </c>
      <c r="I576" t="s">
        <v>21</v>
      </c>
      <c r="J576" t="s">
        <v>20</v>
      </c>
      <c r="K576">
        <v>132.75</v>
      </c>
      <c r="L576" t="s">
        <v>16</v>
      </c>
      <c r="M576" t="s">
        <v>16</v>
      </c>
      <c r="N576" t="s">
        <v>923</v>
      </c>
      <c r="O576">
        <f>_xlfn.XLOOKUP(customer_satisfaction_cleaned[[#This Row],[Product Category]],Table2[Product Category],Table2[Delivery SLA (Days)],"NA",0)</f>
        <v>5</v>
      </c>
      <c r="P5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7" spans="1:16" x14ac:dyDescent="0.2">
      <c r="A577" t="s">
        <v>579</v>
      </c>
      <c r="B577" t="s">
        <v>18</v>
      </c>
      <c r="D577">
        <v>3</v>
      </c>
      <c r="E577" t="s">
        <v>13</v>
      </c>
      <c r="F577">
        <v>87.91</v>
      </c>
      <c r="G577">
        <v>60</v>
      </c>
      <c r="H577" t="s">
        <v>29</v>
      </c>
      <c r="I577" t="s">
        <v>13</v>
      </c>
      <c r="J577" t="s">
        <v>25</v>
      </c>
      <c r="K577">
        <v>87.91</v>
      </c>
      <c r="L577" t="s">
        <v>936</v>
      </c>
      <c r="M577" t="s">
        <v>16</v>
      </c>
      <c r="N577" t="s">
        <v>925</v>
      </c>
      <c r="O577">
        <f>_xlfn.XLOOKUP(customer_satisfaction_cleaned[[#This Row],[Product Category]],Table2[Product Category],Table2[Delivery SLA (Days)],"NA",0)</f>
        <v>10</v>
      </c>
      <c r="P5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8" spans="1:16" x14ac:dyDescent="0.2">
      <c r="A578" t="s">
        <v>580</v>
      </c>
      <c r="B578" t="s">
        <v>23</v>
      </c>
      <c r="D578">
        <v>4</v>
      </c>
      <c r="E578" t="s">
        <v>19</v>
      </c>
      <c r="F578">
        <v>54.65</v>
      </c>
      <c r="G578">
        <v>50</v>
      </c>
      <c r="H578" t="s">
        <v>29</v>
      </c>
      <c r="I578" t="s">
        <v>21</v>
      </c>
      <c r="J578" t="s">
        <v>25</v>
      </c>
      <c r="K578">
        <v>54.65</v>
      </c>
      <c r="L578" t="s">
        <v>936</v>
      </c>
      <c r="M578" t="s">
        <v>16</v>
      </c>
      <c r="N578" t="s">
        <v>923</v>
      </c>
      <c r="O578">
        <f>_xlfn.XLOOKUP(customer_satisfaction_cleaned[[#This Row],[Product Category]],Table2[Product Category],Table2[Delivery SLA (Days)],"NA",0)</f>
        <v>7</v>
      </c>
      <c r="P5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9" spans="1:16" x14ac:dyDescent="0.2">
      <c r="A579" t="s">
        <v>581</v>
      </c>
      <c r="B579" t="s">
        <v>12</v>
      </c>
      <c r="C579">
        <v>9</v>
      </c>
      <c r="D579">
        <v>1</v>
      </c>
      <c r="E579" t="s">
        <v>13</v>
      </c>
      <c r="F579">
        <v>179.96</v>
      </c>
      <c r="G579">
        <v>24</v>
      </c>
      <c r="H579" t="s">
        <v>24</v>
      </c>
      <c r="I579" t="s">
        <v>13</v>
      </c>
      <c r="J579" t="s">
        <v>25</v>
      </c>
      <c r="K579">
        <v>179.96</v>
      </c>
      <c r="L579" t="s">
        <v>16</v>
      </c>
      <c r="M579" t="s">
        <v>16</v>
      </c>
      <c r="N579" t="s">
        <v>924</v>
      </c>
      <c r="O579">
        <f>_xlfn.XLOOKUP(customer_satisfaction_cleaned[[#This Row],[Product Category]],Table2[Product Category],Table2[Delivery SLA (Days)],"NA",0)</f>
        <v>5</v>
      </c>
      <c r="P5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0" spans="1:16" x14ac:dyDescent="0.2">
      <c r="A580" t="s">
        <v>582</v>
      </c>
      <c r="B580" t="s">
        <v>18</v>
      </c>
      <c r="C580">
        <v>7</v>
      </c>
      <c r="D580">
        <v>6</v>
      </c>
      <c r="E580" t="s">
        <v>29</v>
      </c>
      <c r="F580">
        <v>63.36</v>
      </c>
      <c r="G580">
        <v>29</v>
      </c>
      <c r="H580" t="s">
        <v>24</v>
      </c>
      <c r="I580" t="s">
        <v>25</v>
      </c>
      <c r="J580" t="s">
        <v>25</v>
      </c>
      <c r="K580">
        <v>63.36</v>
      </c>
      <c r="L580" t="s">
        <v>16</v>
      </c>
      <c r="M580" t="s">
        <v>16</v>
      </c>
      <c r="N580" t="s">
        <v>924</v>
      </c>
      <c r="O580">
        <f>_xlfn.XLOOKUP(customer_satisfaction_cleaned[[#This Row],[Product Category]],Table2[Product Category],Table2[Delivery SLA (Days)],"NA",0)</f>
        <v>10</v>
      </c>
      <c r="P5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1" spans="1:16" x14ac:dyDescent="0.2">
      <c r="A581" t="s">
        <v>583</v>
      </c>
      <c r="B581" t="s">
        <v>18</v>
      </c>
      <c r="D581">
        <v>5</v>
      </c>
      <c r="E581" t="s">
        <v>32</v>
      </c>
      <c r="F581">
        <v>94.57</v>
      </c>
      <c r="G581">
        <v>38</v>
      </c>
      <c r="H581" t="s">
        <v>24</v>
      </c>
      <c r="I581" t="s">
        <v>13</v>
      </c>
      <c r="J581" t="s">
        <v>25</v>
      </c>
      <c r="K581">
        <v>94.57</v>
      </c>
      <c r="L581" t="s">
        <v>936</v>
      </c>
      <c r="M581" t="s">
        <v>16</v>
      </c>
      <c r="N581" t="s">
        <v>923</v>
      </c>
      <c r="O581">
        <f>_xlfn.XLOOKUP(customer_satisfaction_cleaned[[#This Row],[Product Category]],Table2[Product Category],Table2[Delivery SLA (Days)],"NA",0)</f>
        <v>10</v>
      </c>
      <c r="P5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2" spans="1:16" x14ac:dyDescent="0.2">
      <c r="A582" t="s">
        <v>584</v>
      </c>
      <c r="B582" t="s">
        <v>18</v>
      </c>
      <c r="C582">
        <v>4</v>
      </c>
      <c r="D582">
        <v>5</v>
      </c>
      <c r="E582" t="s">
        <v>21</v>
      </c>
      <c r="F582">
        <v>60.94</v>
      </c>
      <c r="G582">
        <v>39</v>
      </c>
      <c r="H582" t="s">
        <v>15</v>
      </c>
      <c r="I582" t="s">
        <v>21</v>
      </c>
      <c r="J582" t="s">
        <v>15</v>
      </c>
      <c r="K582">
        <v>60.94</v>
      </c>
      <c r="L582" t="s">
        <v>16</v>
      </c>
      <c r="M582" t="s">
        <v>16</v>
      </c>
      <c r="N582" t="s">
        <v>923</v>
      </c>
      <c r="O582">
        <f>_xlfn.XLOOKUP(customer_satisfaction_cleaned[[#This Row],[Product Category]],Table2[Product Category],Table2[Delivery SLA (Days)],"NA",0)</f>
        <v>10</v>
      </c>
      <c r="P5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3" spans="1:16" x14ac:dyDescent="0.2">
      <c r="A583" t="s">
        <v>585</v>
      </c>
      <c r="B583" t="s">
        <v>18</v>
      </c>
      <c r="C583">
        <v>6</v>
      </c>
      <c r="D583">
        <v>6</v>
      </c>
      <c r="E583" t="s">
        <v>32</v>
      </c>
      <c r="F583">
        <v>83.29</v>
      </c>
      <c r="G583">
        <v>49</v>
      </c>
      <c r="H583" t="s">
        <v>24</v>
      </c>
      <c r="I583" t="s">
        <v>13</v>
      </c>
      <c r="J583" t="s">
        <v>25</v>
      </c>
      <c r="K583">
        <v>83.29</v>
      </c>
      <c r="L583" t="s">
        <v>16</v>
      </c>
      <c r="M583" t="s">
        <v>16</v>
      </c>
      <c r="N583" t="s">
        <v>923</v>
      </c>
      <c r="O583">
        <f>_xlfn.XLOOKUP(customer_satisfaction_cleaned[[#This Row],[Product Category]],Table2[Product Category],Table2[Delivery SLA (Days)],"NA",0)</f>
        <v>10</v>
      </c>
      <c r="P5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4" spans="1:16" x14ac:dyDescent="0.2">
      <c r="A584" t="s">
        <v>586</v>
      </c>
      <c r="B584" t="s">
        <v>12</v>
      </c>
      <c r="C584">
        <v>8</v>
      </c>
      <c r="D584">
        <v>4</v>
      </c>
      <c r="E584" t="s">
        <v>32</v>
      </c>
      <c r="F584">
        <v>106.89</v>
      </c>
      <c r="G584">
        <v>42</v>
      </c>
      <c r="H584" t="s">
        <v>29</v>
      </c>
      <c r="I584" t="s">
        <v>13</v>
      </c>
      <c r="J584" t="s">
        <v>25</v>
      </c>
      <c r="K584">
        <v>106.89</v>
      </c>
      <c r="L584" t="s">
        <v>16</v>
      </c>
      <c r="M584" t="s">
        <v>16</v>
      </c>
      <c r="N584" t="s">
        <v>923</v>
      </c>
      <c r="O584">
        <f>_xlfn.XLOOKUP(customer_satisfaction_cleaned[[#This Row],[Product Category]],Table2[Product Category],Table2[Delivery SLA (Days)],"NA",0)</f>
        <v>5</v>
      </c>
      <c r="P5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5" spans="1:16" x14ac:dyDescent="0.2">
      <c r="A585" t="s">
        <v>587</v>
      </c>
      <c r="B585" t="s">
        <v>23</v>
      </c>
      <c r="C585">
        <v>12</v>
      </c>
      <c r="D585">
        <v>6</v>
      </c>
      <c r="E585" t="s">
        <v>13</v>
      </c>
      <c r="F585">
        <v>38.33</v>
      </c>
      <c r="G585">
        <v>0</v>
      </c>
      <c r="H585" t="s">
        <v>20</v>
      </c>
      <c r="I585" t="s">
        <v>13</v>
      </c>
      <c r="J585" t="s">
        <v>20</v>
      </c>
      <c r="K585">
        <v>38.33</v>
      </c>
      <c r="L585" t="s">
        <v>16</v>
      </c>
      <c r="M585" t="s">
        <v>16</v>
      </c>
      <c r="N585" t="s">
        <v>926</v>
      </c>
      <c r="O585">
        <f>_xlfn.XLOOKUP(customer_satisfaction_cleaned[[#This Row],[Product Category]],Table2[Product Category],Table2[Delivery SLA (Days)],"NA",0)</f>
        <v>7</v>
      </c>
      <c r="P5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6" spans="1:16" x14ac:dyDescent="0.2">
      <c r="A586" t="s">
        <v>588</v>
      </c>
      <c r="B586" t="s">
        <v>12</v>
      </c>
      <c r="C586">
        <v>7</v>
      </c>
      <c r="D586">
        <v>4</v>
      </c>
      <c r="E586" t="s">
        <v>13</v>
      </c>
      <c r="F586">
        <v>169.54</v>
      </c>
      <c r="G586">
        <v>49</v>
      </c>
      <c r="H586" t="s">
        <v>24</v>
      </c>
      <c r="I586" t="s">
        <v>13</v>
      </c>
      <c r="J586" t="s">
        <v>25</v>
      </c>
      <c r="K586">
        <v>169.54</v>
      </c>
      <c r="L586" t="s">
        <v>16</v>
      </c>
      <c r="M586" t="s">
        <v>16</v>
      </c>
      <c r="N586" t="s">
        <v>923</v>
      </c>
      <c r="O586">
        <f>_xlfn.XLOOKUP(customer_satisfaction_cleaned[[#This Row],[Product Category]],Table2[Product Category],Table2[Delivery SLA (Days)],"NA",0)</f>
        <v>5</v>
      </c>
      <c r="P5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7" spans="1:16" x14ac:dyDescent="0.2">
      <c r="A587" t="s">
        <v>589</v>
      </c>
      <c r="B587" t="s">
        <v>18</v>
      </c>
      <c r="C587">
        <v>6</v>
      </c>
      <c r="D587">
        <v>4</v>
      </c>
      <c r="E587" t="s">
        <v>32</v>
      </c>
      <c r="F587">
        <v>74.31</v>
      </c>
      <c r="G587">
        <v>27</v>
      </c>
      <c r="H587" t="s">
        <v>15</v>
      </c>
      <c r="I587" t="s">
        <v>13</v>
      </c>
      <c r="J587" t="s">
        <v>15</v>
      </c>
      <c r="K587">
        <v>74.31</v>
      </c>
      <c r="L587" t="s">
        <v>16</v>
      </c>
      <c r="M587" t="s">
        <v>16</v>
      </c>
      <c r="N587" t="s">
        <v>924</v>
      </c>
      <c r="O587">
        <f>_xlfn.XLOOKUP(customer_satisfaction_cleaned[[#This Row],[Product Category]],Table2[Product Category],Table2[Delivery SLA (Days)],"NA",0)</f>
        <v>10</v>
      </c>
      <c r="P5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8" spans="1:16" x14ac:dyDescent="0.2">
      <c r="A588" t="s">
        <v>590</v>
      </c>
      <c r="B588" t="s">
        <v>23</v>
      </c>
      <c r="C588">
        <v>5</v>
      </c>
      <c r="D588">
        <v>3</v>
      </c>
      <c r="E588" t="s">
        <v>29</v>
      </c>
      <c r="F588">
        <v>101.19</v>
      </c>
      <c r="G588">
        <v>54</v>
      </c>
      <c r="H588" t="s">
        <v>15</v>
      </c>
      <c r="I588" t="s">
        <v>25</v>
      </c>
      <c r="J588" t="s">
        <v>15</v>
      </c>
      <c r="K588">
        <v>101.19</v>
      </c>
      <c r="L588" t="s">
        <v>16</v>
      </c>
      <c r="M588" t="s">
        <v>16</v>
      </c>
      <c r="N588" t="s">
        <v>923</v>
      </c>
      <c r="O588">
        <f>_xlfn.XLOOKUP(customer_satisfaction_cleaned[[#This Row],[Product Category]],Table2[Product Category],Table2[Delivery SLA (Days)],"NA",0)</f>
        <v>7</v>
      </c>
      <c r="P5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9" spans="1:16" x14ac:dyDescent="0.2">
      <c r="A589" t="s">
        <v>591</v>
      </c>
      <c r="B589" t="s">
        <v>36</v>
      </c>
      <c r="C589">
        <v>5</v>
      </c>
      <c r="D589">
        <v>8</v>
      </c>
      <c r="E589" t="s">
        <v>29</v>
      </c>
      <c r="F589">
        <v>137.96</v>
      </c>
      <c r="G589">
        <v>38</v>
      </c>
      <c r="H589" t="s">
        <v>24</v>
      </c>
      <c r="I589" t="s">
        <v>25</v>
      </c>
      <c r="J589" t="s">
        <v>25</v>
      </c>
      <c r="K589">
        <v>137.96</v>
      </c>
      <c r="L589" t="s">
        <v>16</v>
      </c>
      <c r="M589" t="s">
        <v>16</v>
      </c>
      <c r="N589" t="s">
        <v>923</v>
      </c>
      <c r="O589" t="str">
        <f>_xlfn.XLOOKUP(customer_satisfaction_cleaned[[#This Row],[Product Category]],Table2[Product Category],Table2[Delivery SLA (Days)],"NA",0)</f>
        <v>NA</v>
      </c>
      <c r="P5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90" spans="1:16" x14ac:dyDescent="0.2">
      <c r="A590" t="s">
        <v>592</v>
      </c>
      <c r="B590" t="s">
        <v>47</v>
      </c>
      <c r="C590">
        <v>8</v>
      </c>
      <c r="D590">
        <v>3</v>
      </c>
      <c r="E590" t="s">
        <v>19</v>
      </c>
      <c r="F590">
        <v>63.27</v>
      </c>
      <c r="G590">
        <v>42</v>
      </c>
      <c r="H590" t="s">
        <v>20</v>
      </c>
      <c r="I590" t="s">
        <v>21</v>
      </c>
      <c r="J590" t="s">
        <v>20</v>
      </c>
      <c r="K590">
        <v>63.27</v>
      </c>
      <c r="L590" t="s">
        <v>16</v>
      </c>
      <c r="M590" t="s">
        <v>16</v>
      </c>
      <c r="N590" t="s">
        <v>923</v>
      </c>
      <c r="O590">
        <f>_xlfn.XLOOKUP(customer_satisfaction_cleaned[[#This Row],[Product Category]],Table2[Product Category],Table2[Delivery SLA (Days)],"NA",0)</f>
        <v>7</v>
      </c>
      <c r="P5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1" spans="1:16" x14ac:dyDescent="0.2">
      <c r="A591" t="s">
        <v>593</v>
      </c>
      <c r="B591" t="s">
        <v>23</v>
      </c>
      <c r="C591">
        <v>10</v>
      </c>
      <c r="D591">
        <v>6</v>
      </c>
      <c r="E591" t="s">
        <v>32</v>
      </c>
      <c r="F591">
        <v>37.340000000000003</v>
      </c>
      <c r="G591">
        <v>44</v>
      </c>
      <c r="H591" t="s">
        <v>15</v>
      </c>
      <c r="I591" t="s">
        <v>13</v>
      </c>
      <c r="J591" t="s">
        <v>15</v>
      </c>
      <c r="K591">
        <v>37.340000000000003</v>
      </c>
      <c r="L591" t="s">
        <v>16</v>
      </c>
      <c r="M591" t="s">
        <v>16</v>
      </c>
      <c r="N591" t="s">
        <v>923</v>
      </c>
      <c r="O591">
        <f>_xlfn.XLOOKUP(customer_satisfaction_cleaned[[#This Row],[Product Category]],Table2[Product Category],Table2[Delivery SLA (Days)],"NA",0)</f>
        <v>7</v>
      </c>
      <c r="P5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2" spans="1:16" x14ac:dyDescent="0.2">
      <c r="A592" t="s">
        <v>594</v>
      </c>
      <c r="B592" t="s">
        <v>12</v>
      </c>
      <c r="C592">
        <v>6</v>
      </c>
      <c r="D592">
        <v>5</v>
      </c>
      <c r="E592" t="s">
        <v>13</v>
      </c>
      <c r="F592">
        <v>109.24</v>
      </c>
      <c r="G592">
        <v>21</v>
      </c>
      <c r="H592" t="s">
        <v>15</v>
      </c>
      <c r="I592" t="s">
        <v>13</v>
      </c>
      <c r="J592" t="s">
        <v>15</v>
      </c>
      <c r="K592">
        <v>109.24</v>
      </c>
      <c r="L592" t="s">
        <v>16</v>
      </c>
      <c r="M592" t="s">
        <v>16</v>
      </c>
      <c r="N592" t="s">
        <v>924</v>
      </c>
      <c r="O592">
        <f>_xlfn.XLOOKUP(customer_satisfaction_cleaned[[#This Row],[Product Category]],Table2[Product Category],Table2[Delivery SLA (Days)],"NA",0)</f>
        <v>5</v>
      </c>
      <c r="P5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3" spans="1:16" x14ac:dyDescent="0.2">
      <c r="A593" t="s">
        <v>17</v>
      </c>
      <c r="B593" t="s">
        <v>23</v>
      </c>
      <c r="C593">
        <v>7</v>
      </c>
      <c r="D593">
        <v>8</v>
      </c>
      <c r="E593" t="s">
        <v>21</v>
      </c>
      <c r="F593">
        <v>64.97</v>
      </c>
      <c r="G593">
        <v>52</v>
      </c>
      <c r="H593" t="s">
        <v>42</v>
      </c>
      <c r="I593" t="s">
        <v>21</v>
      </c>
      <c r="J593" t="s">
        <v>25</v>
      </c>
      <c r="K593">
        <v>64.97</v>
      </c>
      <c r="L593" t="s">
        <v>16</v>
      </c>
      <c r="M593" t="s">
        <v>16</v>
      </c>
      <c r="N593" t="s">
        <v>923</v>
      </c>
      <c r="O593">
        <f>_xlfn.XLOOKUP(customer_satisfaction_cleaned[[#This Row],[Product Category]],Table2[Product Category],Table2[Delivery SLA (Days)],"NA",0)</f>
        <v>7</v>
      </c>
      <c r="P5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94" spans="1:16" x14ac:dyDescent="0.2">
      <c r="A594" t="s">
        <v>595</v>
      </c>
      <c r="B594" t="s">
        <v>23</v>
      </c>
      <c r="C594">
        <v>10</v>
      </c>
      <c r="D594">
        <v>7</v>
      </c>
      <c r="E594" t="s">
        <v>19</v>
      </c>
      <c r="F594">
        <v>62.18</v>
      </c>
      <c r="G594">
        <v>40</v>
      </c>
      <c r="H594" t="s">
        <v>42</v>
      </c>
      <c r="I594" t="s">
        <v>21</v>
      </c>
      <c r="J594" t="s">
        <v>25</v>
      </c>
      <c r="K594">
        <v>62.18</v>
      </c>
      <c r="L594" t="s">
        <v>16</v>
      </c>
      <c r="M594" t="s">
        <v>16</v>
      </c>
      <c r="N594" t="s">
        <v>923</v>
      </c>
      <c r="O594">
        <f>_xlfn.XLOOKUP(customer_satisfaction_cleaned[[#This Row],[Product Category]],Table2[Product Category],Table2[Delivery SLA (Days)],"NA",0)</f>
        <v>7</v>
      </c>
      <c r="P5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5" spans="1:16" x14ac:dyDescent="0.2">
      <c r="A595" t="s">
        <v>596</v>
      </c>
      <c r="B595" t="s">
        <v>18</v>
      </c>
      <c r="C595">
        <v>9</v>
      </c>
      <c r="D595">
        <v>6</v>
      </c>
      <c r="E595" t="s">
        <v>29</v>
      </c>
      <c r="F595">
        <v>106.61</v>
      </c>
      <c r="G595">
        <v>26</v>
      </c>
      <c r="H595" t="s">
        <v>29</v>
      </c>
      <c r="I595" t="s">
        <v>25</v>
      </c>
      <c r="J595" t="s">
        <v>25</v>
      </c>
      <c r="K595">
        <v>106.61</v>
      </c>
      <c r="L595" t="s">
        <v>16</v>
      </c>
      <c r="M595" t="s">
        <v>16</v>
      </c>
      <c r="N595" t="s">
        <v>924</v>
      </c>
      <c r="O595">
        <f>_xlfn.XLOOKUP(customer_satisfaction_cleaned[[#This Row],[Product Category]],Table2[Product Category],Table2[Delivery SLA (Days)],"NA",0)</f>
        <v>10</v>
      </c>
      <c r="P5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6" spans="1:16" x14ac:dyDescent="0.2">
      <c r="A596" t="s">
        <v>597</v>
      </c>
      <c r="B596" t="s">
        <v>47</v>
      </c>
      <c r="C596">
        <v>5</v>
      </c>
      <c r="D596">
        <v>6</v>
      </c>
      <c r="E596" t="s">
        <v>13</v>
      </c>
      <c r="F596">
        <v>79.569999999999993</v>
      </c>
      <c r="G596">
        <v>33</v>
      </c>
      <c r="H596" t="s">
        <v>29</v>
      </c>
      <c r="I596" t="s">
        <v>13</v>
      </c>
      <c r="J596" t="s">
        <v>25</v>
      </c>
      <c r="K596">
        <v>79.569999999999993</v>
      </c>
      <c r="L596" t="s">
        <v>16</v>
      </c>
      <c r="M596" t="s">
        <v>16</v>
      </c>
      <c r="N596" t="s">
        <v>923</v>
      </c>
      <c r="O596">
        <f>_xlfn.XLOOKUP(customer_satisfaction_cleaned[[#This Row],[Product Category]],Table2[Product Category],Table2[Delivery SLA (Days)],"NA",0)</f>
        <v>7</v>
      </c>
      <c r="P5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7" spans="1:16" x14ac:dyDescent="0.2">
      <c r="A597" t="s">
        <v>598</v>
      </c>
      <c r="B597" t="s">
        <v>47</v>
      </c>
      <c r="C597">
        <v>10</v>
      </c>
      <c r="D597">
        <v>6</v>
      </c>
      <c r="E597" t="s">
        <v>21</v>
      </c>
      <c r="F597">
        <v>72.89</v>
      </c>
      <c r="G597">
        <v>51</v>
      </c>
      <c r="H597" t="s">
        <v>29</v>
      </c>
      <c r="I597" t="s">
        <v>21</v>
      </c>
      <c r="J597" t="s">
        <v>25</v>
      </c>
      <c r="K597">
        <v>72.89</v>
      </c>
      <c r="L597" t="s">
        <v>16</v>
      </c>
      <c r="M597" t="s">
        <v>16</v>
      </c>
      <c r="N597" t="s">
        <v>923</v>
      </c>
      <c r="O597">
        <f>_xlfn.XLOOKUP(customer_satisfaction_cleaned[[#This Row],[Product Category]],Table2[Product Category],Table2[Delivery SLA (Days)],"NA",0)</f>
        <v>7</v>
      </c>
      <c r="P5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8" spans="1:16" x14ac:dyDescent="0.2">
      <c r="A598" t="s">
        <v>599</v>
      </c>
      <c r="B598" t="s">
        <v>23</v>
      </c>
      <c r="C598">
        <v>7</v>
      </c>
      <c r="D598">
        <v>5</v>
      </c>
      <c r="E598" t="s">
        <v>32</v>
      </c>
      <c r="F598">
        <v>141.82</v>
      </c>
      <c r="G598">
        <v>51</v>
      </c>
      <c r="H598" t="s">
        <v>14</v>
      </c>
      <c r="I598" t="s">
        <v>13</v>
      </c>
      <c r="J598" t="s">
        <v>15</v>
      </c>
      <c r="K598">
        <v>141.82</v>
      </c>
      <c r="L598" t="s">
        <v>16</v>
      </c>
      <c r="M598" t="s">
        <v>16</v>
      </c>
      <c r="N598" t="s">
        <v>923</v>
      </c>
      <c r="O598">
        <f>_xlfn.XLOOKUP(customer_satisfaction_cleaned[[#This Row],[Product Category]],Table2[Product Category],Table2[Delivery SLA (Days)],"NA",0)</f>
        <v>7</v>
      </c>
      <c r="P5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9" spans="1:16" x14ac:dyDescent="0.2">
      <c r="A599" t="s">
        <v>600</v>
      </c>
      <c r="B599" t="s">
        <v>18</v>
      </c>
      <c r="C599">
        <v>5</v>
      </c>
      <c r="D599">
        <v>4</v>
      </c>
      <c r="E599" t="s">
        <v>21</v>
      </c>
      <c r="F599">
        <v>66.03</v>
      </c>
      <c r="G599">
        <v>36</v>
      </c>
      <c r="H599" t="s">
        <v>42</v>
      </c>
      <c r="I599" t="s">
        <v>21</v>
      </c>
      <c r="J599" t="s">
        <v>25</v>
      </c>
      <c r="K599">
        <v>66.03</v>
      </c>
      <c r="L599" t="s">
        <v>16</v>
      </c>
      <c r="M599" t="s">
        <v>16</v>
      </c>
      <c r="N599" t="s">
        <v>923</v>
      </c>
      <c r="O599">
        <f>_xlfn.XLOOKUP(customer_satisfaction_cleaned[[#This Row],[Product Category]],Table2[Product Category],Table2[Delivery SLA (Days)],"NA",0)</f>
        <v>10</v>
      </c>
      <c r="P5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0" spans="1:16" x14ac:dyDescent="0.2">
      <c r="A600" t="s">
        <v>601</v>
      </c>
      <c r="B600" t="s">
        <v>47</v>
      </c>
      <c r="C600">
        <v>10</v>
      </c>
      <c r="D600">
        <v>5</v>
      </c>
      <c r="E600" t="s">
        <v>32</v>
      </c>
      <c r="F600">
        <v>15.37</v>
      </c>
      <c r="G600">
        <v>62</v>
      </c>
      <c r="H600" t="s">
        <v>14</v>
      </c>
      <c r="I600" t="s">
        <v>13</v>
      </c>
      <c r="J600" t="s">
        <v>15</v>
      </c>
      <c r="K600">
        <v>15.37</v>
      </c>
      <c r="L600" t="s">
        <v>16</v>
      </c>
      <c r="M600" t="s">
        <v>16</v>
      </c>
      <c r="N600" t="s">
        <v>925</v>
      </c>
      <c r="O600">
        <f>_xlfn.XLOOKUP(customer_satisfaction_cleaned[[#This Row],[Product Category]],Table2[Product Category],Table2[Delivery SLA (Days)],"NA",0)</f>
        <v>7</v>
      </c>
      <c r="P6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1" spans="1:16" x14ac:dyDescent="0.2">
      <c r="A601" t="s">
        <v>602</v>
      </c>
      <c r="B601" t="s">
        <v>12</v>
      </c>
      <c r="C601">
        <v>10</v>
      </c>
      <c r="D601">
        <v>5</v>
      </c>
      <c r="E601" t="s">
        <v>32</v>
      </c>
      <c r="F601">
        <v>195.16</v>
      </c>
      <c r="G601">
        <v>23</v>
      </c>
      <c r="H601" t="s">
        <v>15</v>
      </c>
      <c r="I601" t="s">
        <v>13</v>
      </c>
      <c r="J601" t="s">
        <v>15</v>
      </c>
      <c r="K601">
        <v>195.16</v>
      </c>
      <c r="L601" t="s">
        <v>16</v>
      </c>
      <c r="M601" t="s">
        <v>16</v>
      </c>
      <c r="N601" t="s">
        <v>924</v>
      </c>
      <c r="O601">
        <f>_xlfn.XLOOKUP(customer_satisfaction_cleaned[[#This Row],[Product Category]],Table2[Product Category],Table2[Delivery SLA (Days)],"NA",0)</f>
        <v>5</v>
      </c>
      <c r="P6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2" spans="1:16" x14ac:dyDescent="0.2">
      <c r="A602" t="s">
        <v>603</v>
      </c>
      <c r="B602" t="s">
        <v>23</v>
      </c>
      <c r="C602">
        <v>7</v>
      </c>
      <c r="D602">
        <v>5</v>
      </c>
      <c r="E602" t="s">
        <v>21</v>
      </c>
      <c r="F602">
        <v>152.26</v>
      </c>
      <c r="G602">
        <v>37</v>
      </c>
      <c r="H602" t="s">
        <v>29</v>
      </c>
      <c r="I602" t="s">
        <v>21</v>
      </c>
      <c r="J602" t="s">
        <v>25</v>
      </c>
      <c r="K602">
        <v>152.26</v>
      </c>
      <c r="L602" t="s">
        <v>16</v>
      </c>
      <c r="M602" t="s">
        <v>16</v>
      </c>
      <c r="N602" t="s">
        <v>923</v>
      </c>
      <c r="O602">
        <f>_xlfn.XLOOKUP(customer_satisfaction_cleaned[[#This Row],[Product Category]],Table2[Product Category],Table2[Delivery SLA (Days)],"NA",0)</f>
        <v>7</v>
      </c>
      <c r="P6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3" spans="1:16" x14ac:dyDescent="0.2">
      <c r="A603" t="s">
        <v>604</v>
      </c>
      <c r="B603" t="s">
        <v>18</v>
      </c>
      <c r="C603">
        <v>7</v>
      </c>
      <c r="D603">
        <v>8</v>
      </c>
      <c r="E603" t="s">
        <v>19</v>
      </c>
      <c r="F603">
        <v>81.99</v>
      </c>
      <c r="G603">
        <v>30</v>
      </c>
      <c r="H603" t="s">
        <v>24</v>
      </c>
      <c r="I603" t="s">
        <v>21</v>
      </c>
      <c r="J603" t="s">
        <v>25</v>
      </c>
      <c r="K603">
        <v>81.99</v>
      </c>
      <c r="L603" t="s">
        <v>16</v>
      </c>
      <c r="M603" t="s">
        <v>16</v>
      </c>
      <c r="N603" t="s">
        <v>923</v>
      </c>
      <c r="O603">
        <f>_xlfn.XLOOKUP(customer_satisfaction_cleaned[[#This Row],[Product Category]],Table2[Product Category],Table2[Delivery SLA (Days)],"NA",0)</f>
        <v>10</v>
      </c>
      <c r="P6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4" spans="1:16" x14ac:dyDescent="0.2">
      <c r="A604" t="s">
        <v>605</v>
      </c>
      <c r="B604" t="s">
        <v>23</v>
      </c>
      <c r="C604">
        <v>6</v>
      </c>
      <c r="D604">
        <v>4</v>
      </c>
      <c r="E604" t="s">
        <v>32</v>
      </c>
      <c r="F604">
        <v>124.95</v>
      </c>
      <c r="G604">
        <v>23</v>
      </c>
      <c r="H604" t="s">
        <v>44</v>
      </c>
      <c r="I604" t="s">
        <v>13</v>
      </c>
      <c r="J604" t="s">
        <v>20</v>
      </c>
      <c r="K604">
        <v>124.95</v>
      </c>
      <c r="L604" t="s">
        <v>16</v>
      </c>
      <c r="M604" t="s">
        <v>16</v>
      </c>
      <c r="N604" t="s">
        <v>924</v>
      </c>
      <c r="O604">
        <f>_xlfn.XLOOKUP(customer_satisfaction_cleaned[[#This Row],[Product Category]],Table2[Product Category],Table2[Delivery SLA (Days)],"NA",0)</f>
        <v>7</v>
      </c>
      <c r="P6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5" spans="1:16" x14ac:dyDescent="0.2">
      <c r="A605" t="s">
        <v>606</v>
      </c>
      <c r="B605" t="s">
        <v>12</v>
      </c>
      <c r="C605">
        <v>11</v>
      </c>
      <c r="D605">
        <v>8</v>
      </c>
      <c r="E605" t="s">
        <v>21</v>
      </c>
      <c r="F605">
        <v>150.52000000000001</v>
      </c>
      <c r="G605">
        <v>15</v>
      </c>
      <c r="H605" t="s">
        <v>20</v>
      </c>
      <c r="I605" t="s">
        <v>21</v>
      </c>
      <c r="J605" t="s">
        <v>20</v>
      </c>
      <c r="K605">
        <v>150.52000000000001</v>
      </c>
      <c r="L605" t="s">
        <v>16</v>
      </c>
      <c r="M605" t="s">
        <v>16</v>
      </c>
      <c r="N605" t="s">
        <v>924</v>
      </c>
      <c r="O605">
        <f>_xlfn.XLOOKUP(customer_satisfaction_cleaned[[#This Row],[Product Category]],Table2[Product Category],Table2[Delivery SLA (Days)],"NA",0)</f>
        <v>5</v>
      </c>
      <c r="P6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06" spans="1:16" x14ac:dyDescent="0.2">
      <c r="A606" t="s">
        <v>607</v>
      </c>
      <c r="B606" t="s">
        <v>47</v>
      </c>
      <c r="C606">
        <v>8</v>
      </c>
      <c r="D606">
        <v>1</v>
      </c>
      <c r="E606" t="s">
        <v>21</v>
      </c>
      <c r="F606">
        <v>88.28</v>
      </c>
      <c r="G606">
        <v>50</v>
      </c>
      <c r="H606" t="s">
        <v>15</v>
      </c>
      <c r="I606" t="s">
        <v>21</v>
      </c>
      <c r="J606" t="s">
        <v>15</v>
      </c>
      <c r="K606">
        <v>88.28</v>
      </c>
      <c r="L606" t="s">
        <v>16</v>
      </c>
      <c r="M606" t="s">
        <v>16</v>
      </c>
      <c r="N606" t="s">
        <v>923</v>
      </c>
      <c r="O606">
        <f>_xlfn.XLOOKUP(customer_satisfaction_cleaned[[#This Row],[Product Category]],Table2[Product Category],Table2[Delivery SLA (Days)],"NA",0)</f>
        <v>7</v>
      </c>
      <c r="P6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7" spans="1:16" x14ac:dyDescent="0.2">
      <c r="A607" t="s">
        <v>608</v>
      </c>
      <c r="B607" t="s">
        <v>12</v>
      </c>
      <c r="C607">
        <v>6</v>
      </c>
      <c r="D607">
        <v>7</v>
      </c>
      <c r="E607" t="s">
        <v>21</v>
      </c>
      <c r="F607">
        <v>107.86</v>
      </c>
      <c r="G607">
        <v>18</v>
      </c>
      <c r="H607" t="s">
        <v>14</v>
      </c>
      <c r="I607" t="s">
        <v>21</v>
      </c>
      <c r="J607" t="s">
        <v>15</v>
      </c>
      <c r="K607">
        <v>107.86</v>
      </c>
      <c r="L607" t="s">
        <v>16</v>
      </c>
      <c r="M607" t="s">
        <v>16</v>
      </c>
      <c r="N607" t="s">
        <v>924</v>
      </c>
      <c r="O607">
        <f>_xlfn.XLOOKUP(customer_satisfaction_cleaned[[#This Row],[Product Category]],Table2[Product Category],Table2[Delivery SLA (Days)],"NA",0)</f>
        <v>5</v>
      </c>
      <c r="P6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08" spans="1:16" x14ac:dyDescent="0.2">
      <c r="A608" t="s">
        <v>609</v>
      </c>
      <c r="B608" t="s">
        <v>18</v>
      </c>
      <c r="C608">
        <v>7</v>
      </c>
      <c r="D608">
        <v>3</v>
      </c>
      <c r="E608" t="s">
        <v>32</v>
      </c>
      <c r="F608">
        <v>110.74</v>
      </c>
      <c r="G608">
        <v>28</v>
      </c>
      <c r="H608" t="s">
        <v>20</v>
      </c>
      <c r="I608" t="s">
        <v>13</v>
      </c>
      <c r="J608" t="s">
        <v>20</v>
      </c>
      <c r="K608">
        <v>110.74</v>
      </c>
      <c r="L608" t="s">
        <v>16</v>
      </c>
      <c r="M608" t="s">
        <v>16</v>
      </c>
      <c r="N608" t="s">
        <v>924</v>
      </c>
      <c r="O608">
        <f>_xlfn.XLOOKUP(customer_satisfaction_cleaned[[#This Row],[Product Category]],Table2[Product Category],Table2[Delivery SLA (Days)],"NA",0)</f>
        <v>10</v>
      </c>
      <c r="P6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9" spans="1:16" x14ac:dyDescent="0.2">
      <c r="A609" t="s">
        <v>17</v>
      </c>
      <c r="B609" t="s">
        <v>47</v>
      </c>
      <c r="C609">
        <v>6</v>
      </c>
      <c r="D609">
        <v>0</v>
      </c>
      <c r="E609" t="s">
        <v>32</v>
      </c>
      <c r="F609">
        <v>104.22</v>
      </c>
      <c r="G609">
        <v>23</v>
      </c>
      <c r="H609" t="s">
        <v>44</v>
      </c>
      <c r="I609" t="s">
        <v>13</v>
      </c>
      <c r="J609" t="s">
        <v>20</v>
      </c>
      <c r="K609">
        <v>104.22</v>
      </c>
      <c r="L609" t="s">
        <v>16</v>
      </c>
      <c r="M609" t="s">
        <v>16</v>
      </c>
      <c r="N609" t="s">
        <v>924</v>
      </c>
      <c r="O609">
        <f>_xlfn.XLOOKUP(customer_satisfaction_cleaned[[#This Row],[Product Category]],Table2[Product Category],Table2[Delivery SLA (Days)],"NA",0)</f>
        <v>7</v>
      </c>
      <c r="P6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0" spans="1:16" x14ac:dyDescent="0.2">
      <c r="A610" t="s">
        <v>610</v>
      </c>
      <c r="B610" t="s">
        <v>18</v>
      </c>
      <c r="C610">
        <v>8</v>
      </c>
      <c r="D610">
        <v>2</v>
      </c>
      <c r="E610" t="s">
        <v>29</v>
      </c>
      <c r="F610">
        <v>50.12</v>
      </c>
      <c r="G610">
        <v>36</v>
      </c>
      <c r="H610" t="s">
        <v>29</v>
      </c>
      <c r="I610" t="s">
        <v>25</v>
      </c>
      <c r="J610" t="s">
        <v>25</v>
      </c>
      <c r="K610">
        <v>50.12</v>
      </c>
      <c r="L610" t="s">
        <v>16</v>
      </c>
      <c r="M610" t="s">
        <v>16</v>
      </c>
      <c r="N610" t="s">
        <v>923</v>
      </c>
      <c r="O610">
        <f>_xlfn.XLOOKUP(customer_satisfaction_cleaned[[#This Row],[Product Category]],Table2[Product Category],Table2[Delivery SLA (Days)],"NA",0)</f>
        <v>10</v>
      </c>
      <c r="P6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1" spans="1:16" x14ac:dyDescent="0.2">
      <c r="A611" t="s">
        <v>611</v>
      </c>
      <c r="B611" t="s">
        <v>18</v>
      </c>
      <c r="C611">
        <v>5</v>
      </c>
      <c r="D611">
        <v>11</v>
      </c>
      <c r="E611" t="s">
        <v>29</v>
      </c>
      <c r="F611">
        <v>16.78</v>
      </c>
      <c r="G611">
        <v>35</v>
      </c>
      <c r="H611" t="s">
        <v>24</v>
      </c>
      <c r="I611" t="s">
        <v>25</v>
      </c>
      <c r="J611" t="s">
        <v>25</v>
      </c>
      <c r="K611">
        <v>16.78</v>
      </c>
      <c r="L611" t="s">
        <v>16</v>
      </c>
      <c r="M611" t="s">
        <v>16</v>
      </c>
      <c r="N611" t="s">
        <v>923</v>
      </c>
      <c r="O611">
        <f>_xlfn.XLOOKUP(customer_satisfaction_cleaned[[#This Row],[Product Category]],Table2[Product Category],Table2[Delivery SLA (Days)],"NA",0)</f>
        <v>10</v>
      </c>
      <c r="P6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12" spans="1:16" x14ac:dyDescent="0.2">
      <c r="A612" t="s">
        <v>612</v>
      </c>
      <c r="B612" t="s">
        <v>18</v>
      </c>
      <c r="C612">
        <v>6</v>
      </c>
      <c r="D612">
        <v>7</v>
      </c>
      <c r="E612" t="s">
        <v>19</v>
      </c>
      <c r="F612">
        <v>125.14</v>
      </c>
      <c r="H612" t="s">
        <v>44</v>
      </c>
      <c r="I612" t="s">
        <v>21</v>
      </c>
      <c r="J612" t="s">
        <v>20</v>
      </c>
      <c r="K612">
        <v>125.14</v>
      </c>
      <c r="L612" t="s">
        <v>16</v>
      </c>
      <c r="M612" t="s">
        <v>16</v>
      </c>
      <c r="N612" t="s">
        <v>922</v>
      </c>
      <c r="O612">
        <f>_xlfn.XLOOKUP(customer_satisfaction_cleaned[[#This Row],[Product Category]],Table2[Product Category],Table2[Delivery SLA (Days)],"NA",0)</f>
        <v>10</v>
      </c>
      <c r="P6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3" spans="1:16" x14ac:dyDescent="0.2">
      <c r="A613" t="s">
        <v>613</v>
      </c>
      <c r="B613" t="s">
        <v>12</v>
      </c>
      <c r="C613">
        <v>8</v>
      </c>
      <c r="D613">
        <v>5</v>
      </c>
      <c r="E613" t="s">
        <v>21</v>
      </c>
      <c r="F613">
        <v>63.57</v>
      </c>
      <c r="G613">
        <v>64</v>
      </c>
      <c r="H613" t="s">
        <v>44</v>
      </c>
      <c r="I613" t="s">
        <v>21</v>
      </c>
      <c r="J613" t="s">
        <v>20</v>
      </c>
      <c r="K613">
        <v>63.57</v>
      </c>
      <c r="L613" t="s">
        <v>16</v>
      </c>
      <c r="M613" t="s">
        <v>16</v>
      </c>
      <c r="N613" t="s">
        <v>925</v>
      </c>
      <c r="O613">
        <f>_xlfn.XLOOKUP(customer_satisfaction_cleaned[[#This Row],[Product Category]],Table2[Product Category],Table2[Delivery SLA (Days)],"NA",0)</f>
        <v>5</v>
      </c>
      <c r="P6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4" spans="1:16" x14ac:dyDescent="0.2">
      <c r="A614" t="s">
        <v>614</v>
      </c>
      <c r="B614" t="s">
        <v>12</v>
      </c>
      <c r="C614">
        <v>4</v>
      </c>
      <c r="D614">
        <v>5</v>
      </c>
      <c r="E614" t="s">
        <v>29</v>
      </c>
      <c r="F614">
        <v>188.93</v>
      </c>
      <c r="G614">
        <v>6</v>
      </c>
      <c r="H614" t="s">
        <v>42</v>
      </c>
      <c r="I614" t="s">
        <v>25</v>
      </c>
      <c r="J614" t="s">
        <v>25</v>
      </c>
      <c r="K614">
        <v>188.93</v>
      </c>
      <c r="L614" t="s">
        <v>16</v>
      </c>
      <c r="M614" t="s">
        <v>16</v>
      </c>
      <c r="N614" t="s">
        <v>926</v>
      </c>
      <c r="O614">
        <f>_xlfn.XLOOKUP(customer_satisfaction_cleaned[[#This Row],[Product Category]],Table2[Product Category],Table2[Delivery SLA (Days)],"NA",0)</f>
        <v>5</v>
      </c>
      <c r="P6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5" spans="1:16" x14ac:dyDescent="0.2">
      <c r="A615" t="s">
        <v>615</v>
      </c>
      <c r="B615" t="s">
        <v>47</v>
      </c>
      <c r="C615">
        <v>7</v>
      </c>
      <c r="D615">
        <v>6</v>
      </c>
      <c r="E615" t="s">
        <v>13</v>
      </c>
      <c r="F615">
        <v>128.30000000000001</v>
      </c>
      <c r="G615">
        <v>36</v>
      </c>
      <c r="H615" t="s">
        <v>24</v>
      </c>
      <c r="I615" t="s">
        <v>13</v>
      </c>
      <c r="J615" t="s">
        <v>25</v>
      </c>
      <c r="K615">
        <v>128.30000000000001</v>
      </c>
      <c r="L615" t="s">
        <v>16</v>
      </c>
      <c r="M615" t="s">
        <v>16</v>
      </c>
      <c r="N615" t="s">
        <v>923</v>
      </c>
      <c r="O615">
        <f>_xlfn.XLOOKUP(customer_satisfaction_cleaned[[#This Row],[Product Category]],Table2[Product Category],Table2[Delivery SLA (Days)],"NA",0)</f>
        <v>7</v>
      </c>
      <c r="P6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6" spans="1:16" x14ac:dyDescent="0.2">
      <c r="A616" t="s">
        <v>616</v>
      </c>
      <c r="B616" t="s">
        <v>12</v>
      </c>
      <c r="C616">
        <v>7</v>
      </c>
      <c r="D616">
        <v>5</v>
      </c>
      <c r="E616" t="s">
        <v>21</v>
      </c>
      <c r="F616">
        <v>135.44</v>
      </c>
      <c r="H616" t="s">
        <v>29</v>
      </c>
      <c r="I616" t="s">
        <v>21</v>
      </c>
      <c r="J616" t="s">
        <v>25</v>
      </c>
      <c r="K616">
        <v>135.44</v>
      </c>
      <c r="L616" t="s">
        <v>16</v>
      </c>
      <c r="M616" t="s">
        <v>16</v>
      </c>
      <c r="N616" t="s">
        <v>922</v>
      </c>
      <c r="O616">
        <f>_xlfn.XLOOKUP(customer_satisfaction_cleaned[[#This Row],[Product Category]],Table2[Product Category],Table2[Delivery SLA (Days)],"NA",0)</f>
        <v>5</v>
      </c>
      <c r="P6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7" spans="1:16" x14ac:dyDescent="0.2">
      <c r="A617" t="s">
        <v>617</v>
      </c>
      <c r="B617" t="s">
        <v>12</v>
      </c>
      <c r="E617" t="s">
        <v>32</v>
      </c>
      <c r="F617">
        <v>100.31</v>
      </c>
      <c r="G617">
        <v>43</v>
      </c>
      <c r="H617" t="s">
        <v>42</v>
      </c>
      <c r="I617" t="s">
        <v>13</v>
      </c>
      <c r="J617" t="s">
        <v>25</v>
      </c>
      <c r="K617">
        <v>100.31</v>
      </c>
      <c r="L617" t="s">
        <v>936</v>
      </c>
      <c r="M617" t="s">
        <v>937</v>
      </c>
      <c r="N617" t="s">
        <v>923</v>
      </c>
      <c r="O617">
        <f>_xlfn.XLOOKUP(customer_satisfaction_cleaned[[#This Row],[Product Category]],Table2[Product Category],Table2[Delivery SLA (Days)],"NA",0)</f>
        <v>5</v>
      </c>
      <c r="P6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18" spans="1:16" x14ac:dyDescent="0.2">
      <c r="A618" t="s">
        <v>618</v>
      </c>
      <c r="B618" t="s">
        <v>23</v>
      </c>
      <c r="C618">
        <v>6</v>
      </c>
      <c r="D618">
        <v>6</v>
      </c>
      <c r="E618" t="s">
        <v>29</v>
      </c>
      <c r="F618">
        <v>84.37</v>
      </c>
      <c r="G618">
        <v>33</v>
      </c>
      <c r="H618" t="s">
        <v>44</v>
      </c>
      <c r="I618" t="s">
        <v>25</v>
      </c>
      <c r="J618" t="s">
        <v>20</v>
      </c>
      <c r="K618">
        <v>84.37</v>
      </c>
      <c r="L618" t="s">
        <v>16</v>
      </c>
      <c r="M618" t="s">
        <v>16</v>
      </c>
      <c r="N618" t="s">
        <v>923</v>
      </c>
      <c r="O618">
        <f>_xlfn.XLOOKUP(customer_satisfaction_cleaned[[#This Row],[Product Category]],Table2[Product Category],Table2[Delivery SLA (Days)],"NA",0)</f>
        <v>7</v>
      </c>
      <c r="P6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9" spans="1:16" x14ac:dyDescent="0.2">
      <c r="A619" t="s">
        <v>619</v>
      </c>
      <c r="B619" t="s">
        <v>23</v>
      </c>
      <c r="C619">
        <v>5</v>
      </c>
      <c r="E619" t="s">
        <v>13</v>
      </c>
      <c r="F619">
        <v>80.05</v>
      </c>
      <c r="G619">
        <v>25</v>
      </c>
      <c r="H619" t="s">
        <v>15</v>
      </c>
      <c r="I619" t="s">
        <v>13</v>
      </c>
      <c r="J619" t="s">
        <v>15</v>
      </c>
      <c r="K619">
        <v>80.05</v>
      </c>
      <c r="L619" t="s">
        <v>16</v>
      </c>
      <c r="M619" t="s">
        <v>937</v>
      </c>
      <c r="N619" t="s">
        <v>924</v>
      </c>
      <c r="O619">
        <f>_xlfn.XLOOKUP(customer_satisfaction_cleaned[[#This Row],[Product Category]],Table2[Product Category],Table2[Delivery SLA (Days)],"NA",0)</f>
        <v>7</v>
      </c>
      <c r="P6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20" spans="1:16" x14ac:dyDescent="0.2">
      <c r="A620" t="s">
        <v>620</v>
      </c>
      <c r="B620" t="s">
        <v>47</v>
      </c>
      <c r="C620">
        <v>8</v>
      </c>
      <c r="D620">
        <v>4</v>
      </c>
      <c r="E620" t="s">
        <v>19</v>
      </c>
      <c r="F620">
        <v>88.39</v>
      </c>
      <c r="G620">
        <v>43</v>
      </c>
      <c r="H620" t="s">
        <v>20</v>
      </c>
      <c r="I620" t="s">
        <v>21</v>
      </c>
      <c r="J620" t="s">
        <v>20</v>
      </c>
      <c r="K620">
        <v>88.39</v>
      </c>
      <c r="L620" t="s">
        <v>16</v>
      </c>
      <c r="M620" t="s">
        <v>16</v>
      </c>
      <c r="N620" t="s">
        <v>923</v>
      </c>
      <c r="O620">
        <f>_xlfn.XLOOKUP(customer_satisfaction_cleaned[[#This Row],[Product Category]],Table2[Product Category],Table2[Delivery SLA (Days)],"NA",0)</f>
        <v>7</v>
      </c>
      <c r="P6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1" spans="1:16" x14ac:dyDescent="0.2">
      <c r="A621" t="s">
        <v>621</v>
      </c>
      <c r="B621" t="s">
        <v>23</v>
      </c>
      <c r="C621">
        <v>6</v>
      </c>
      <c r="D621">
        <v>5</v>
      </c>
      <c r="E621" t="s">
        <v>32</v>
      </c>
      <c r="F621">
        <v>140.19999999999999</v>
      </c>
      <c r="H621" t="s">
        <v>44</v>
      </c>
      <c r="I621" t="s">
        <v>13</v>
      </c>
      <c r="J621" t="s">
        <v>20</v>
      </c>
      <c r="K621">
        <v>140.19999999999999</v>
      </c>
      <c r="L621" t="s">
        <v>16</v>
      </c>
      <c r="M621" t="s">
        <v>16</v>
      </c>
      <c r="N621" t="s">
        <v>922</v>
      </c>
      <c r="O621">
        <f>_xlfn.XLOOKUP(customer_satisfaction_cleaned[[#This Row],[Product Category]],Table2[Product Category],Table2[Delivery SLA (Days)],"NA",0)</f>
        <v>7</v>
      </c>
      <c r="P6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2" spans="1:16" x14ac:dyDescent="0.2">
      <c r="A622" t="s">
        <v>622</v>
      </c>
      <c r="B622" t="s">
        <v>12</v>
      </c>
      <c r="C622">
        <v>7</v>
      </c>
      <c r="D622">
        <v>6</v>
      </c>
      <c r="E622" t="s">
        <v>29</v>
      </c>
      <c r="F622">
        <v>88.58</v>
      </c>
      <c r="G622">
        <v>41</v>
      </c>
      <c r="H622" t="s">
        <v>20</v>
      </c>
      <c r="I622" t="s">
        <v>25</v>
      </c>
      <c r="J622" t="s">
        <v>20</v>
      </c>
      <c r="K622">
        <v>88.58</v>
      </c>
      <c r="L622" t="s">
        <v>16</v>
      </c>
      <c r="M622" t="s">
        <v>16</v>
      </c>
      <c r="N622" t="s">
        <v>923</v>
      </c>
      <c r="O622">
        <f>_xlfn.XLOOKUP(customer_satisfaction_cleaned[[#This Row],[Product Category]],Table2[Product Category],Table2[Delivery SLA (Days)],"NA",0)</f>
        <v>5</v>
      </c>
      <c r="P6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23" spans="1:16" x14ac:dyDescent="0.2">
      <c r="A623" t="s">
        <v>623</v>
      </c>
      <c r="B623" t="s">
        <v>18</v>
      </c>
      <c r="C623">
        <v>8</v>
      </c>
      <c r="D623">
        <v>2</v>
      </c>
      <c r="E623" t="s">
        <v>29</v>
      </c>
      <c r="F623">
        <v>111.75</v>
      </c>
      <c r="G623">
        <v>26</v>
      </c>
      <c r="H623" t="s">
        <v>34</v>
      </c>
      <c r="I623" t="s">
        <v>25</v>
      </c>
      <c r="J623" t="s">
        <v>25</v>
      </c>
      <c r="K623">
        <v>111.75</v>
      </c>
      <c r="L623" t="s">
        <v>16</v>
      </c>
      <c r="M623" t="s">
        <v>16</v>
      </c>
      <c r="N623" t="s">
        <v>924</v>
      </c>
      <c r="O623">
        <f>_xlfn.XLOOKUP(customer_satisfaction_cleaned[[#This Row],[Product Category]],Table2[Product Category],Table2[Delivery SLA (Days)],"NA",0)</f>
        <v>10</v>
      </c>
      <c r="P6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4" spans="1:16" x14ac:dyDescent="0.2">
      <c r="A624" t="s">
        <v>17</v>
      </c>
      <c r="B624" t="s">
        <v>23</v>
      </c>
      <c r="C624">
        <v>8</v>
      </c>
      <c r="D624">
        <v>3</v>
      </c>
      <c r="E624" t="s">
        <v>29</v>
      </c>
      <c r="F624">
        <v>161.69</v>
      </c>
      <c r="G624">
        <v>24</v>
      </c>
      <c r="H624" t="s">
        <v>29</v>
      </c>
      <c r="I624" t="s">
        <v>25</v>
      </c>
      <c r="J624" t="s">
        <v>25</v>
      </c>
      <c r="K624">
        <v>161.69</v>
      </c>
      <c r="L624" t="s">
        <v>16</v>
      </c>
      <c r="M624" t="s">
        <v>16</v>
      </c>
      <c r="N624" t="s">
        <v>924</v>
      </c>
      <c r="O624">
        <f>_xlfn.XLOOKUP(customer_satisfaction_cleaned[[#This Row],[Product Category]],Table2[Product Category],Table2[Delivery SLA (Days)],"NA",0)</f>
        <v>7</v>
      </c>
      <c r="P6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5" spans="1:16" x14ac:dyDescent="0.2">
      <c r="A625" t="s">
        <v>624</v>
      </c>
      <c r="B625" t="s">
        <v>12</v>
      </c>
      <c r="C625">
        <v>11</v>
      </c>
      <c r="D625">
        <v>6</v>
      </c>
      <c r="E625" t="s">
        <v>21</v>
      </c>
      <c r="F625">
        <v>62.54</v>
      </c>
      <c r="G625">
        <v>52</v>
      </c>
      <c r="H625" t="s">
        <v>24</v>
      </c>
      <c r="I625" t="s">
        <v>21</v>
      </c>
      <c r="J625" t="s">
        <v>25</v>
      </c>
      <c r="K625">
        <v>62.54</v>
      </c>
      <c r="L625" t="s">
        <v>16</v>
      </c>
      <c r="M625" t="s">
        <v>16</v>
      </c>
      <c r="N625" t="s">
        <v>923</v>
      </c>
      <c r="O625">
        <f>_xlfn.XLOOKUP(customer_satisfaction_cleaned[[#This Row],[Product Category]],Table2[Product Category],Table2[Delivery SLA (Days)],"NA",0)</f>
        <v>5</v>
      </c>
      <c r="P6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26" spans="1:16" x14ac:dyDescent="0.2">
      <c r="A626" t="s">
        <v>625</v>
      </c>
      <c r="B626" t="s">
        <v>12</v>
      </c>
      <c r="C626">
        <v>7</v>
      </c>
      <c r="D626">
        <v>6</v>
      </c>
      <c r="E626" t="s">
        <v>21</v>
      </c>
      <c r="F626">
        <v>172.78</v>
      </c>
      <c r="G626">
        <v>27</v>
      </c>
      <c r="H626" t="s">
        <v>42</v>
      </c>
      <c r="I626" t="s">
        <v>21</v>
      </c>
      <c r="J626" t="s">
        <v>25</v>
      </c>
      <c r="K626">
        <v>172.78</v>
      </c>
      <c r="L626" t="s">
        <v>16</v>
      </c>
      <c r="M626" t="s">
        <v>16</v>
      </c>
      <c r="N626" t="s">
        <v>924</v>
      </c>
      <c r="O626">
        <f>_xlfn.XLOOKUP(customer_satisfaction_cleaned[[#This Row],[Product Category]],Table2[Product Category],Table2[Delivery SLA (Days)],"NA",0)</f>
        <v>5</v>
      </c>
      <c r="P6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27" spans="1:16" x14ac:dyDescent="0.2">
      <c r="A627" t="s">
        <v>17</v>
      </c>
      <c r="B627" t="s">
        <v>47</v>
      </c>
      <c r="C627">
        <v>6</v>
      </c>
      <c r="D627">
        <v>9</v>
      </c>
      <c r="E627" t="s">
        <v>29</v>
      </c>
      <c r="F627">
        <v>56.75</v>
      </c>
      <c r="G627">
        <v>37</v>
      </c>
      <c r="H627" t="s">
        <v>42</v>
      </c>
      <c r="I627" t="s">
        <v>25</v>
      </c>
      <c r="J627" t="s">
        <v>25</v>
      </c>
      <c r="K627">
        <v>56.75</v>
      </c>
      <c r="L627" t="s">
        <v>16</v>
      </c>
      <c r="M627" t="s">
        <v>16</v>
      </c>
      <c r="N627" t="s">
        <v>923</v>
      </c>
      <c r="O627">
        <f>_xlfn.XLOOKUP(customer_satisfaction_cleaned[[#This Row],[Product Category]],Table2[Product Category],Table2[Delivery SLA (Days)],"NA",0)</f>
        <v>7</v>
      </c>
      <c r="P6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28" spans="1:16" x14ac:dyDescent="0.2">
      <c r="A628" t="s">
        <v>626</v>
      </c>
      <c r="B628" t="s">
        <v>18</v>
      </c>
      <c r="C628">
        <v>7</v>
      </c>
      <c r="D628">
        <v>6</v>
      </c>
      <c r="E628" t="s">
        <v>21</v>
      </c>
      <c r="F628">
        <v>37.43</v>
      </c>
      <c r="G628">
        <v>24</v>
      </c>
      <c r="H628" t="s">
        <v>29</v>
      </c>
      <c r="I628" t="s">
        <v>21</v>
      </c>
      <c r="J628" t="s">
        <v>25</v>
      </c>
      <c r="K628">
        <v>37.43</v>
      </c>
      <c r="L628" t="s">
        <v>16</v>
      </c>
      <c r="M628" t="s">
        <v>16</v>
      </c>
      <c r="N628" t="s">
        <v>924</v>
      </c>
      <c r="O628">
        <f>_xlfn.XLOOKUP(customer_satisfaction_cleaned[[#This Row],[Product Category]],Table2[Product Category],Table2[Delivery SLA (Days)],"NA",0)</f>
        <v>10</v>
      </c>
      <c r="P6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9" spans="1:16" x14ac:dyDescent="0.2">
      <c r="A629" t="s">
        <v>627</v>
      </c>
      <c r="B629" t="s">
        <v>36</v>
      </c>
      <c r="C629">
        <v>7</v>
      </c>
      <c r="D629">
        <v>5</v>
      </c>
      <c r="E629" t="s">
        <v>29</v>
      </c>
      <c r="F629">
        <v>116.57</v>
      </c>
      <c r="G629">
        <v>61</v>
      </c>
      <c r="H629" t="s">
        <v>44</v>
      </c>
      <c r="I629" t="s">
        <v>25</v>
      </c>
      <c r="J629" t="s">
        <v>20</v>
      </c>
      <c r="K629">
        <v>116.57</v>
      </c>
      <c r="L629" t="s">
        <v>16</v>
      </c>
      <c r="M629" t="s">
        <v>16</v>
      </c>
      <c r="N629" t="s">
        <v>925</v>
      </c>
      <c r="O629" t="str">
        <f>_xlfn.XLOOKUP(customer_satisfaction_cleaned[[#This Row],[Product Category]],Table2[Product Category],Table2[Delivery SLA (Days)],"NA",0)</f>
        <v>NA</v>
      </c>
      <c r="P6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30" spans="1:16" x14ac:dyDescent="0.2">
      <c r="A630" t="s">
        <v>628</v>
      </c>
      <c r="B630" t="s">
        <v>23</v>
      </c>
      <c r="C630">
        <v>6</v>
      </c>
      <c r="D630">
        <v>7</v>
      </c>
      <c r="E630" t="s">
        <v>29</v>
      </c>
      <c r="F630">
        <v>56.99</v>
      </c>
      <c r="G630">
        <v>49</v>
      </c>
      <c r="H630" t="s">
        <v>24</v>
      </c>
      <c r="I630" t="s">
        <v>25</v>
      </c>
      <c r="J630" t="s">
        <v>25</v>
      </c>
      <c r="K630">
        <v>56.99</v>
      </c>
      <c r="L630" t="s">
        <v>16</v>
      </c>
      <c r="M630" t="s">
        <v>16</v>
      </c>
      <c r="N630" t="s">
        <v>923</v>
      </c>
      <c r="O630">
        <f>_xlfn.XLOOKUP(customer_satisfaction_cleaned[[#This Row],[Product Category]],Table2[Product Category],Table2[Delivery SLA (Days)],"NA",0)</f>
        <v>7</v>
      </c>
      <c r="P6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1" spans="1:16" x14ac:dyDescent="0.2">
      <c r="A631" t="s">
        <v>629</v>
      </c>
      <c r="B631" t="s">
        <v>12</v>
      </c>
      <c r="C631">
        <v>7</v>
      </c>
      <c r="D631">
        <v>3</v>
      </c>
      <c r="E631" t="s">
        <v>32</v>
      </c>
      <c r="F631">
        <v>47.91</v>
      </c>
      <c r="G631">
        <v>26</v>
      </c>
      <c r="H631" t="s">
        <v>14</v>
      </c>
      <c r="I631" t="s">
        <v>13</v>
      </c>
      <c r="J631" t="s">
        <v>15</v>
      </c>
      <c r="K631">
        <v>47.91</v>
      </c>
      <c r="L631" t="s">
        <v>16</v>
      </c>
      <c r="M631" t="s">
        <v>16</v>
      </c>
      <c r="N631" t="s">
        <v>924</v>
      </c>
      <c r="O631">
        <f>_xlfn.XLOOKUP(customer_satisfaction_cleaned[[#This Row],[Product Category]],Table2[Product Category],Table2[Delivery SLA (Days)],"NA",0)</f>
        <v>5</v>
      </c>
      <c r="P6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2" spans="1:16" x14ac:dyDescent="0.2">
      <c r="A632" t="s">
        <v>630</v>
      </c>
      <c r="B632" t="s">
        <v>18</v>
      </c>
      <c r="C632">
        <v>9</v>
      </c>
      <c r="E632" t="s">
        <v>21</v>
      </c>
      <c r="F632">
        <v>54.4</v>
      </c>
      <c r="G632">
        <v>73</v>
      </c>
      <c r="H632" t="s">
        <v>29</v>
      </c>
      <c r="I632" t="s">
        <v>21</v>
      </c>
      <c r="J632" t="s">
        <v>25</v>
      </c>
      <c r="K632">
        <v>54.4</v>
      </c>
      <c r="L632" t="s">
        <v>16</v>
      </c>
      <c r="M632" t="s">
        <v>937</v>
      </c>
      <c r="N632" t="s">
        <v>925</v>
      </c>
      <c r="O632">
        <f>_xlfn.XLOOKUP(customer_satisfaction_cleaned[[#This Row],[Product Category]],Table2[Product Category],Table2[Delivery SLA (Days)],"NA",0)</f>
        <v>10</v>
      </c>
      <c r="P6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33" spans="1:16" x14ac:dyDescent="0.2">
      <c r="A633" t="s">
        <v>631</v>
      </c>
      <c r="B633" t="s">
        <v>18</v>
      </c>
      <c r="C633">
        <v>6</v>
      </c>
      <c r="D633">
        <v>7</v>
      </c>
      <c r="E633" t="s">
        <v>32</v>
      </c>
      <c r="F633">
        <v>116.8</v>
      </c>
      <c r="G633">
        <v>27</v>
      </c>
      <c r="H633" t="s">
        <v>15</v>
      </c>
      <c r="I633" t="s">
        <v>13</v>
      </c>
      <c r="J633" t="s">
        <v>15</v>
      </c>
      <c r="K633">
        <v>116.8</v>
      </c>
      <c r="L633" t="s">
        <v>16</v>
      </c>
      <c r="M633" t="s">
        <v>16</v>
      </c>
      <c r="N633" t="s">
        <v>924</v>
      </c>
      <c r="O633">
        <f>_xlfn.XLOOKUP(customer_satisfaction_cleaned[[#This Row],[Product Category]],Table2[Product Category],Table2[Delivery SLA (Days)],"NA",0)</f>
        <v>10</v>
      </c>
      <c r="P6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4" spans="1:16" x14ac:dyDescent="0.2">
      <c r="A634" t="s">
        <v>632</v>
      </c>
      <c r="B634" t="s">
        <v>18</v>
      </c>
      <c r="C634">
        <v>3</v>
      </c>
      <c r="D634">
        <v>7</v>
      </c>
      <c r="E634" t="s">
        <v>21</v>
      </c>
      <c r="F634">
        <v>72.69</v>
      </c>
      <c r="G634">
        <v>27</v>
      </c>
      <c r="H634" t="s">
        <v>15</v>
      </c>
      <c r="I634" t="s">
        <v>21</v>
      </c>
      <c r="J634" t="s">
        <v>15</v>
      </c>
      <c r="K634">
        <v>72.69</v>
      </c>
      <c r="L634" t="s">
        <v>16</v>
      </c>
      <c r="M634" t="s">
        <v>16</v>
      </c>
      <c r="N634" t="s">
        <v>924</v>
      </c>
      <c r="O634">
        <f>_xlfn.XLOOKUP(customer_satisfaction_cleaned[[#This Row],[Product Category]],Table2[Product Category],Table2[Delivery SLA (Days)],"NA",0)</f>
        <v>10</v>
      </c>
      <c r="P6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5" spans="1:16" x14ac:dyDescent="0.2">
      <c r="A635" t="s">
        <v>633</v>
      </c>
      <c r="B635" t="s">
        <v>23</v>
      </c>
      <c r="C635">
        <v>12</v>
      </c>
      <c r="E635" t="s">
        <v>13</v>
      </c>
      <c r="F635">
        <v>25.54</v>
      </c>
      <c r="G635">
        <v>30</v>
      </c>
      <c r="H635" t="s">
        <v>44</v>
      </c>
      <c r="I635" t="s">
        <v>13</v>
      </c>
      <c r="J635" t="s">
        <v>20</v>
      </c>
      <c r="K635">
        <v>25.54</v>
      </c>
      <c r="L635" t="s">
        <v>16</v>
      </c>
      <c r="M635" t="s">
        <v>937</v>
      </c>
      <c r="N635" t="s">
        <v>923</v>
      </c>
      <c r="O635">
        <f>_xlfn.XLOOKUP(customer_satisfaction_cleaned[[#This Row],[Product Category]],Table2[Product Category],Table2[Delivery SLA (Days)],"NA",0)</f>
        <v>7</v>
      </c>
      <c r="P6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36" spans="1:16" x14ac:dyDescent="0.2">
      <c r="A636" t="s">
        <v>634</v>
      </c>
      <c r="B636" t="s">
        <v>18</v>
      </c>
      <c r="C636">
        <v>7</v>
      </c>
      <c r="D636">
        <v>3</v>
      </c>
      <c r="E636" t="s">
        <v>32</v>
      </c>
      <c r="F636">
        <v>107.99</v>
      </c>
      <c r="G636">
        <v>21</v>
      </c>
      <c r="H636" t="s">
        <v>42</v>
      </c>
      <c r="I636" t="s">
        <v>13</v>
      </c>
      <c r="J636" t="s">
        <v>25</v>
      </c>
      <c r="K636">
        <v>107.99</v>
      </c>
      <c r="L636" t="s">
        <v>16</v>
      </c>
      <c r="M636" t="s">
        <v>16</v>
      </c>
      <c r="N636" t="s">
        <v>924</v>
      </c>
      <c r="O636">
        <f>_xlfn.XLOOKUP(customer_satisfaction_cleaned[[#This Row],[Product Category]],Table2[Product Category],Table2[Delivery SLA (Days)],"NA",0)</f>
        <v>10</v>
      </c>
      <c r="P6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7" spans="1:16" x14ac:dyDescent="0.2">
      <c r="A637" t="s">
        <v>635</v>
      </c>
      <c r="B637" t="s">
        <v>47</v>
      </c>
      <c r="D637">
        <v>1</v>
      </c>
      <c r="E637" t="s">
        <v>13</v>
      </c>
      <c r="F637">
        <v>48.87</v>
      </c>
      <c r="G637">
        <v>13</v>
      </c>
      <c r="H637" t="s">
        <v>44</v>
      </c>
      <c r="I637" t="s">
        <v>13</v>
      </c>
      <c r="J637" t="s">
        <v>20</v>
      </c>
      <c r="K637">
        <v>48.87</v>
      </c>
      <c r="L637" t="s">
        <v>936</v>
      </c>
      <c r="M637" t="s">
        <v>16</v>
      </c>
      <c r="N637" t="s">
        <v>926</v>
      </c>
      <c r="O637">
        <f>_xlfn.XLOOKUP(customer_satisfaction_cleaned[[#This Row],[Product Category]],Table2[Product Category],Table2[Delivery SLA (Days)],"NA",0)</f>
        <v>7</v>
      </c>
      <c r="P6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8" spans="1:16" x14ac:dyDescent="0.2">
      <c r="A638" t="s">
        <v>636</v>
      </c>
      <c r="B638" t="s">
        <v>18</v>
      </c>
      <c r="C638">
        <v>5</v>
      </c>
      <c r="D638">
        <v>7</v>
      </c>
      <c r="E638" t="s">
        <v>13</v>
      </c>
      <c r="F638">
        <v>139.02000000000001</v>
      </c>
      <c r="G638">
        <v>10</v>
      </c>
      <c r="H638" t="s">
        <v>24</v>
      </c>
      <c r="I638" t="s">
        <v>13</v>
      </c>
      <c r="J638" t="s">
        <v>25</v>
      </c>
      <c r="K638">
        <v>139.02000000000001</v>
      </c>
      <c r="L638" t="s">
        <v>16</v>
      </c>
      <c r="M638" t="s">
        <v>16</v>
      </c>
      <c r="N638" t="s">
        <v>926</v>
      </c>
      <c r="O638">
        <f>_xlfn.XLOOKUP(customer_satisfaction_cleaned[[#This Row],[Product Category]],Table2[Product Category],Table2[Delivery SLA (Days)],"NA",0)</f>
        <v>10</v>
      </c>
      <c r="P6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9" spans="1:16" x14ac:dyDescent="0.2">
      <c r="A639" t="s">
        <v>637</v>
      </c>
      <c r="B639" t="s">
        <v>36</v>
      </c>
      <c r="C639">
        <v>6</v>
      </c>
      <c r="D639">
        <v>5</v>
      </c>
      <c r="E639" t="s">
        <v>21</v>
      </c>
      <c r="F639">
        <v>174.81</v>
      </c>
      <c r="G639">
        <v>45</v>
      </c>
      <c r="H639" t="s">
        <v>29</v>
      </c>
      <c r="I639" t="s">
        <v>21</v>
      </c>
      <c r="J639" t="s">
        <v>25</v>
      </c>
      <c r="K639">
        <v>174.81</v>
      </c>
      <c r="L639" t="s">
        <v>16</v>
      </c>
      <c r="M639" t="s">
        <v>16</v>
      </c>
      <c r="N639" t="s">
        <v>923</v>
      </c>
      <c r="O639" t="str">
        <f>_xlfn.XLOOKUP(customer_satisfaction_cleaned[[#This Row],[Product Category]],Table2[Product Category],Table2[Delivery SLA (Days)],"NA",0)</f>
        <v>NA</v>
      </c>
      <c r="P6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40" spans="1:16" x14ac:dyDescent="0.2">
      <c r="A640" t="s">
        <v>638</v>
      </c>
      <c r="B640" t="s">
        <v>47</v>
      </c>
      <c r="C640">
        <v>10</v>
      </c>
      <c r="D640">
        <v>10</v>
      </c>
      <c r="E640" t="s">
        <v>21</v>
      </c>
      <c r="F640">
        <v>75.36</v>
      </c>
      <c r="G640">
        <v>7</v>
      </c>
      <c r="H640" t="s">
        <v>20</v>
      </c>
      <c r="I640" t="s">
        <v>21</v>
      </c>
      <c r="J640" t="s">
        <v>20</v>
      </c>
      <c r="K640">
        <v>75.36</v>
      </c>
      <c r="L640" t="s">
        <v>16</v>
      </c>
      <c r="M640" t="s">
        <v>16</v>
      </c>
      <c r="N640" t="s">
        <v>926</v>
      </c>
      <c r="O640">
        <f>_xlfn.XLOOKUP(customer_satisfaction_cleaned[[#This Row],[Product Category]],Table2[Product Category],Table2[Delivery SLA (Days)],"NA",0)</f>
        <v>7</v>
      </c>
      <c r="P6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41" spans="1:16" x14ac:dyDescent="0.2">
      <c r="A641" t="s">
        <v>639</v>
      </c>
      <c r="B641" t="s">
        <v>23</v>
      </c>
      <c r="C641">
        <v>6</v>
      </c>
      <c r="D641">
        <v>1</v>
      </c>
      <c r="E641" t="s">
        <v>32</v>
      </c>
      <c r="F641">
        <v>124.09</v>
      </c>
      <c r="G641">
        <v>20</v>
      </c>
      <c r="H641" t="s">
        <v>29</v>
      </c>
      <c r="I641" t="s">
        <v>13</v>
      </c>
      <c r="J641" t="s">
        <v>25</v>
      </c>
      <c r="K641">
        <v>124.09</v>
      </c>
      <c r="L641" t="s">
        <v>16</v>
      </c>
      <c r="M641" t="s">
        <v>16</v>
      </c>
      <c r="N641" t="s">
        <v>924</v>
      </c>
      <c r="O641">
        <f>_xlfn.XLOOKUP(customer_satisfaction_cleaned[[#This Row],[Product Category]],Table2[Product Category],Table2[Delivery SLA (Days)],"NA",0)</f>
        <v>7</v>
      </c>
      <c r="P6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2" spans="1:16" x14ac:dyDescent="0.2">
      <c r="A642" t="s">
        <v>640</v>
      </c>
      <c r="B642" t="s">
        <v>12</v>
      </c>
      <c r="C642">
        <v>6</v>
      </c>
      <c r="D642">
        <v>5</v>
      </c>
      <c r="E642" t="s">
        <v>21</v>
      </c>
      <c r="F642">
        <v>238.3</v>
      </c>
      <c r="G642">
        <v>36</v>
      </c>
      <c r="H642" t="s">
        <v>44</v>
      </c>
      <c r="I642" t="s">
        <v>21</v>
      </c>
      <c r="J642" t="s">
        <v>20</v>
      </c>
      <c r="K642">
        <v>238.3</v>
      </c>
      <c r="L642" t="s">
        <v>16</v>
      </c>
      <c r="M642" t="s">
        <v>16</v>
      </c>
      <c r="N642" t="s">
        <v>923</v>
      </c>
      <c r="O642">
        <f>_xlfn.XLOOKUP(customer_satisfaction_cleaned[[#This Row],[Product Category]],Table2[Product Category],Table2[Delivery SLA (Days)],"NA",0)</f>
        <v>5</v>
      </c>
      <c r="P6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3" spans="1:16" x14ac:dyDescent="0.2">
      <c r="A643" t="s">
        <v>641</v>
      </c>
      <c r="B643" t="s">
        <v>18</v>
      </c>
      <c r="C643">
        <v>7</v>
      </c>
      <c r="D643">
        <v>4</v>
      </c>
      <c r="E643" t="s">
        <v>13</v>
      </c>
      <c r="F643">
        <v>114.88</v>
      </c>
      <c r="G643">
        <v>36</v>
      </c>
      <c r="H643" t="s">
        <v>14</v>
      </c>
      <c r="I643" t="s">
        <v>13</v>
      </c>
      <c r="J643" t="s">
        <v>15</v>
      </c>
      <c r="K643">
        <v>114.88</v>
      </c>
      <c r="L643" t="s">
        <v>16</v>
      </c>
      <c r="M643" t="s">
        <v>16</v>
      </c>
      <c r="N643" t="s">
        <v>923</v>
      </c>
      <c r="O643">
        <f>_xlfn.XLOOKUP(customer_satisfaction_cleaned[[#This Row],[Product Category]],Table2[Product Category],Table2[Delivery SLA (Days)],"NA",0)</f>
        <v>10</v>
      </c>
      <c r="P6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4" spans="1:16" x14ac:dyDescent="0.2">
      <c r="A644" t="s">
        <v>642</v>
      </c>
      <c r="B644" t="s">
        <v>23</v>
      </c>
      <c r="C644">
        <v>6</v>
      </c>
      <c r="D644">
        <v>3</v>
      </c>
      <c r="E644" t="s">
        <v>13</v>
      </c>
      <c r="F644">
        <v>85.82</v>
      </c>
      <c r="G644">
        <v>41</v>
      </c>
      <c r="H644" t="s">
        <v>15</v>
      </c>
      <c r="I644" t="s">
        <v>13</v>
      </c>
      <c r="J644" t="s">
        <v>15</v>
      </c>
      <c r="K644">
        <v>85.82</v>
      </c>
      <c r="L644" t="s">
        <v>16</v>
      </c>
      <c r="M644" t="s">
        <v>16</v>
      </c>
      <c r="N644" t="s">
        <v>923</v>
      </c>
      <c r="O644">
        <f>_xlfn.XLOOKUP(customer_satisfaction_cleaned[[#This Row],[Product Category]],Table2[Product Category],Table2[Delivery SLA (Days)],"NA",0)</f>
        <v>7</v>
      </c>
      <c r="P6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5" spans="1:16" x14ac:dyDescent="0.2">
      <c r="A645" t="s">
        <v>643</v>
      </c>
      <c r="B645" t="s">
        <v>23</v>
      </c>
      <c r="C645">
        <v>8</v>
      </c>
      <c r="D645">
        <v>2</v>
      </c>
      <c r="E645" t="s">
        <v>29</v>
      </c>
      <c r="F645">
        <v>6379</v>
      </c>
      <c r="G645">
        <v>11</v>
      </c>
      <c r="H645" t="s">
        <v>14</v>
      </c>
      <c r="I645" t="s">
        <v>25</v>
      </c>
      <c r="J645" t="s">
        <v>15</v>
      </c>
      <c r="K645">
        <v>6379</v>
      </c>
      <c r="L645" t="s">
        <v>16</v>
      </c>
      <c r="M645" t="s">
        <v>16</v>
      </c>
      <c r="N645" t="s">
        <v>926</v>
      </c>
      <c r="O645">
        <f>_xlfn.XLOOKUP(customer_satisfaction_cleaned[[#This Row],[Product Category]],Table2[Product Category],Table2[Delivery SLA (Days)],"NA",0)</f>
        <v>7</v>
      </c>
      <c r="P6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6" spans="1:16" x14ac:dyDescent="0.2">
      <c r="A646" t="s">
        <v>644</v>
      </c>
      <c r="B646" t="s">
        <v>47</v>
      </c>
      <c r="C646">
        <v>10</v>
      </c>
      <c r="D646">
        <v>5</v>
      </c>
      <c r="E646" t="s">
        <v>34</v>
      </c>
      <c r="F646">
        <v>155.19999999999999</v>
      </c>
      <c r="G646">
        <v>30</v>
      </c>
      <c r="H646" t="s">
        <v>42</v>
      </c>
      <c r="I646" t="s">
        <v>25</v>
      </c>
      <c r="J646" t="s">
        <v>25</v>
      </c>
      <c r="K646">
        <v>155.19999999999999</v>
      </c>
      <c r="L646" t="s">
        <v>16</v>
      </c>
      <c r="M646" t="s">
        <v>16</v>
      </c>
      <c r="N646" t="s">
        <v>923</v>
      </c>
      <c r="O646">
        <f>_xlfn.XLOOKUP(customer_satisfaction_cleaned[[#This Row],[Product Category]],Table2[Product Category],Table2[Delivery SLA (Days)],"NA",0)</f>
        <v>7</v>
      </c>
      <c r="P6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7" spans="1:16" x14ac:dyDescent="0.2">
      <c r="A647" t="s">
        <v>645</v>
      </c>
      <c r="B647" t="s">
        <v>12</v>
      </c>
      <c r="C647">
        <v>7</v>
      </c>
      <c r="D647">
        <v>5</v>
      </c>
      <c r="E647" t="s">
        <v>21</v>
      </c>
      <c r="F647">
        <v>89.68</v>
      </c>
      <c r="G647">
        <v>64</v>
      </c>
      <c r="H647" t="s">
        <v>15</v>
      </c>
      <c r="I647" t="s">
        <v>21</v>
      </c>
      <c r="J647" t="s">
        <v>15</v>
      </c>
      <c r="K647">
        <v>89.68</v>
      </c>
      <c r="L647" t="s">
        <v>16</v>
      </c>
      <c r="M647" t="s">
        <v>16</v>
      </c>
      <c r="N647" t="s">
        <v>925</v>
      </c>
      <c r="O647">
        <f>_xlfn.XLOOKUP(customer_satisfaction_cleaned[[#This Row],[Product Category]],Table2[Product Category],Table2[Delivery SLA (Days)],"NA",0)</f>
        <v>5</v>
      </c>
      <c r="P6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8" spans="1:16" x14ac:dyDescent="0.2">
      <c r="A648" t="s">
        <v>646</v>
      </c>
      <c r="B648" t="s">
        <v>23</v>
      </c>
      <c r="C648">
        <v>9</v>
      </c>
      <c r="E648" t="s">
        <v>21</v>
      </c>
      <c r="F648">
        <v>132.85</v>
      </c>
      <c r="G648">
        <v>51</v>
      </c>
      <c r="H648" t="s">
        <v>29</v>
      </c>
      <c r="I648" t="s">
        <v>21</v>
      </c>
      <c r="J648" t="s">
        <v>25</v>
      </c>
      <c r="K648">
        <v>132.85</v>
      </c>
      <c r="L648" t="s">
        <v>16</v>
      </c>
      <c r="M648" t="s">
        <v>937</v>
      </c>
      <c r="N648" t="s">
        <v>923</v>
      </c>
      <c r="O648">
        <f>_xlfn.XLOOKUP(customer_satisfaction_cleaned[[#This Row],[Product Category]],Table2[Product Category],Table2[Delivery SLA (Days)],"NA",0)</f>
        <v>7</v>
      </c>
      <c r="P6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49" spans="1:16" x14ac:dyDescent="0.2">
      <c r="A649" t="s">
        <v>647</v>
      </c>
      <c r="B649" t="s">
        <v>47</v>
      </c>
      <c r="C649">
        <v>7</v>
      </c>
      <c r="D649">
        <v>7</v>
      </c>
      <c r="E649" t="s">
        <v>19</v>
      </c>
      <c r="F649">
        <v>232.25</v>
      </c>
      <c r="G649">
        <v>7</v>
      </c>
      <c r="H649" t="s">
        <v>14</v>
      </c>
      <c r="I649" t="s">
        <v>21</v>
      </c>
      <c r="J649" t="s">
        <v>15</v>
      </c>
      <c r="K649">
        <v>232.25</v>
      </c>
      <c r="L649" t="s">
        <v>16</v>
      </c>
      <c r="M649" t="s">
        <v>16</v>
      </c>
      <c r="N649" t="s">
        <v>926</v>
      </c>
      <c r="O649">
        <f>_xlfn.XLOOKUP(customer_satisfaction_cleaned[[#This Row],[Product Category]],Table2[Product Category],Table2[Delivery SLA (Days)],"NA",0)</f>
        <v>7</v>
      </c>
      <c r="P6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0" spans="1:16" x14ac:dyDescent="0.2">
      <c r="A650" t="s">
        <v>648</v>
      </c>
      <c r="B650" t="s">
        <v>23</v>
      </c>
      <c r="D650">
        <v>6</v>
      </c>
      <c r="E650" t="s">
        <v>32</v>
      </c>
      <c r="F650">
        <v>71.72</v>
      </c>
      <c r="G650">
        <v>52</v>
      </c>
      <c r="H650" t="s">
        <v>44</v>
      </c>
      <c r="I650" t="s">
        <v>13</v>
      </c>
      <c r="J650" t="s">
        <v>20</v>
      </c>
      <c r="K650">
        <v>71.72</v>
      </c>
      <c r="L650" t="s">
        <v>936</v>
      </c>
      <c r="M650" t="s">
        <v>16</v>
      </c>
      <c r="N650" t="s">
        <v>923</v>
      </c>
      <c r="O650">
        <f>_xlfn.XLOOKUP(customer_satisfaction_cleaned[[#This Row],[Product Category]],Table2[Product Category],Table2[Delivery SLA (Days)],"NA",0)</f>
        <v>7</v>
      </c>
      <c r="P6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1" spans="1:16" x14ac:dyDescent="0.2">
      <c r="A651" t="s">
        <v>649</v>
      </c>
      <c r="B651" t="s">
        <v>18</v>
      </c>
      <c r="C651">
        <v>8</v>
      </c>
      <c r="D651">
        <v>5</v>
      </c>
      <c r="E651" t="s">
        <v>21</v>
      </c>
      <c r="F651">
        <v>13.09</v>
      </c>
      <c r="G651">
        <v>35</v>
      </c>
      <c r="H651" t="s">
        <v>44</v>
      </c>
      <c r="I651" t="s">
        <v>21</v>
      </c>
      <c r="J651" t="s">
        <v>20</v>
      </c>
      <c r="K651">
        <v>13.09</v>
      </c>
      <c r="L651" t="s">
        <v>16</v>
      </c>
      <c r="M651" t="s">
        <v>16</v>
      </c>
      <c r="N651" t="s">
        <v>923</v>
      </c>
      <c r="O651">
        <f>_xlfn.XLOOKUP(customer_satisfaction_cleaned[[#This Row],[Product Category]],Table2[Product Category],Table2[Delivery SLA (Days)],"NA",0)</f>
        <v>10</v>
      </c>
      <c r="P6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2" spans="1:16" x14ac:dyDescent="0.2">
      <c r="A652" t="s">
        <v>650</v>
      </c>
      <c r="B652" t="s">
        <v>23</v>
      </c>
      <c r="C652">
        <v>4</v>
      </c>
      <c r="D652">
        <v>7</v>
      </c>
      <c r="E652" t="s">
        <v>13</v>
      </c>
      <c r="F652">
        <v>62.89</v>
      </c>
      <c r="G652">
        <v>30</v>
      </c>
      <c r="H652" t="s">
        <v>14</v>
      </c>
      <c r="I652" t="s">
        <v>13</v>
      </c>
      <c r="J652" t="s">
        <v>15</v>
      </c>
      <c r="K652">
        <v>62.89</v>
      </c>
      <c r="L652" t="s">
        <v>16</v>
      </c>
      <c r="M652" t="s">
        <v>16</v>
      </c>
      <c r="N652" t="s">
        <v>923</v>
      </c>
      <c r="O652">
        <f>_xlfn.XLOOKUP(customer_satisfaction_cleaned[[#This Row],[Product Category]],Table2[Product Category],Table2[Delivery SLA (Days)],"NA",0)</f>
        <v>7</v>
      </c>
      <c r="P6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3" spans="1:16" x14ac:dyDescent="0.2">
      <c r="A653" t="s">
        <v>651</v>
      </c>
      <c r="B653" t="s">
        <v>23</v>
      </c>
      <c r="C653">
        <v>7</v>
      </c>
      <c r="D653">
        <v>5</v>
      </c>
      <c r="E653" t="s">
        <v>13</v>
      </c>
      <c r="F653">
        <v>142.21</v>
      </c>
      <c r="G653">
        <v>54</v>
      </c>
      <c r="H653" t="s">
        <v>14</v>
      </c>
      <c r="I653" t="s">
        <v>13</v>
      </c>
      <c r="J653" t="s">
        <v>15</v>
      </c>
      <c r="K653">
        <v>142.21</v>
      </c>
      <c r="L653" t="s">
        <v>16</v>
      </c>
      <c r="M653" t="s">
        <v>16</v>
      </c>
      <c r="N653" t="s">
        <v>923</v>
      </c>
      <c r="O653">
        <f>_xlfn.XLOOKUP(customer_satisfaction_cleaned[[#This Row],[Product Category]],Table2[Product Category],Table2[Delivery SLA (Days)],"NA",0)</f>
        <v>7</v>
      </c>
      <c r="P6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4" spans="1:16" x14ac:dyDescent="0.2">
      <c r="A654" t="s">
        <v>652</v>
      </c>
      <c r="B654" t="s">
        <v>47</v>
      </c>
      <c r="C654">
        <v>4</v>
      </c>
      <c r="D654">
        <v>2</v>
      </c>
      <c r="E654" t="s">
        <v>32</v>
      </c>
      <c r="F654">
        <v>81.13</v>
      </c>
      <c r="G654">
        <v>35</v>
      </c>
      <c r="H654" t="s">
        <v>15</v>
      </c>
      <c r="I654" t="s">
        <v>13</v>
      </c>
      <c r="J654" t="s">
        <v>15</v>
      </c>
      <c r="K654">
        <v>81.13</v>
      </c>
      <c r="L654" t="s">
        <v>16</v>
      </c>
      <c r="M654" t="s">
        <v>16</v>
      </c>
      <c r="N654" t="s">
        <v>923</v>
      </c>
      <c r="O654">
        <f>_xlfn.XLOOKUP(customer_satisfaction_cleaned[[#This Row],[Product Category]],Table2[Product Category],Table2[Delivery SLA (Days)],"NA",0)</f>
        <v>7</v>
      </c>
      <c r="P6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5" spans="1:16" x14ac:dyDescent="0.2">
      <c r="A655" t="s">
        <v>653</v>
      </c>
      <c r="B655" t="s">
        <v>12</v>
      </c>
      <c r="C655">
        <v>6</v>
      </c>
      <c r="D655">
        <v>3</v>
      </c>
      <c r="E655" t="s">
        <v>21</v>
      </c>
      <c r="F655">
        <v>21.18</v>
      </c>
      <c r="G655">
        <v>20</v>
      </c>
      <c r="H655" t="s">
        <v>42</v>
      </c>
      <c r="I655" t="s">
        <v>21</v>
      </c>
      <c r="J655" t="s">
        <v>25</v>
      </c>
      <c r="K655">
        <v>21.18</v>
      </c>
      <c r="L655" t="s">
        <v>16</v>
      </c>
      <c r="M655" t="s">
        <v>16</v>
      </c>
      <c r="N655" t="s">
        <v>924</v>
      </c>
      <c r="O655">
        <f>_xlfn.XLOOKUP(customer_satisfaction_cleaned[[#This Row],[Product Category]],Table2[Product Category],Table2[Delivery SLA (Days)],"NA",0)</f>
        <v>5</v>
      </c>
      <c r="P6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6" spans="1:16" x14ac:dyDescent="0.2">
      <c r="A656" t="s">
        <v>654</v>
      </c>
      <c r="B656" t="s">
        <v>36</v>
      </c>
      <c r="C656">
        <v>10</v>
      </c>
      <c r="D656">
        <v>2</v>
      </c>
      <c r="E656" t="s">
        <v>32</v>
      </c>
      <c r="F656">
        <v>101.11</v>
      </c>
      <c r="G656">
        <v>31</v>
      </c>
      <c r="H656" t="s">
        <v>15</v>
      </c>
      <c r="I656" t="s">
        <v>13</v>
      </c>
      <c r="J656" t="s">
        <v>15</v>
      </c>
      <c r="K656">
        <v>101.11</v>
      </c>
      <c r="L656" t="s">
        <v>16</v>
      </c>
      <c r="M656" t="s">
        <v>16</v>
      </c>
      <c r="N656" t="s">
        <v>923</v>
      </c>
      <c r="O656" t="str">
        <f>_xlfn.XLOOKUP(customer_satisfaction_cleaned[[#This Row],[Product Category]],Table2[Product Category],Table2[Delivery SLA (Days)],"NA",0)</f>
        <v>NA</v>
      </c>
      <c r="P6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57" spans="1:16" x14ac:dyDescent="0.2">
      <c r="A657" t="s">
        <v>655</v>
      </c>
      <c r="B657" t="s">
        <v>18</v>
      </c>
      <c r="C657">
        <v>5</v>
      </c>
      <c r="D657">
        <v>6</v>
      </c>
      <c r="E657" t="s">
        <v>13</v>
      </c>
      <c r="F657">
        <v>137.69999999999999</v>
      </c>
      <c r="G657">
        <v>43</v>
      </c>
      <c r="H657" t="s">
        <v>34</v>
      </c>
      <c r="I657" t="s">
        <v>13</v>
      </c>
      <c r="J657" t="s">
        <v>25</v>
      </c>
      <c r="K657">
        <v>137.69999999999999</v>
      </c>
      <c r="L657" t="s">
        <v>16</v>
      </c>
      <c r="M657" t="s">
        <v>16</v>
      </c>
      <c r="N657" t="s">
        <v>923</v>
      </c>
      <c r="O657">
        <f>_xlfn.XLOOKUP(customer_satisfaction_cleaned[[#This Row],[Product Category]],Table2[Product Category],Table2[Delivery SLA (Days)],"NA",0)</f>
        <v>10</v>
      </c>
      <c r="P6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8" spans="1:16" x14ac:dyDescent="0.2">
      <c r="A658" t="s">
        <v>656</v>
      </c>
      <c r="B658" t="s">
        <v>47</v>
      </c>
      <c r="C658">
        <v>10</v>
      </c>
      <c r="D658">
        <v>5</v>
      </c>
      <c r="E658" t="s">
        <v>19</v>
      </c>
      <c r="F658">
        <v>110.65</v>
      </c>
      <c r="G658">
        <v>12</v>
      </c>
      <c r="H658" t="s">
        <v>14</v>
      </c>
      <c r="I658" t="s">
        <v>21</v>
      </c>
      <c r="J658" t="s">
        <v>15</v>
      </c>
      <c r="K658">
        <v>110.65</v>
      </c>
      <c r="L658" t="s">
        <v>16</v>
      </c>
      <c r="M658" t="s">
        <v>16</v>
      </c>
      <c r="N658" t="s">
        <v>926</v>
      </c>
      <c r="O658">
        <f>_xlfn.XLOOKUP(customer_satisfaction_cleaned[[#This Row],[Product Category]],Table2[Product Category],Table2[Delivery SLA (Days)],"NA",0)</f>
        <v>7</v>
      </c>
      <c r="P6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9" spans="1:16" x14ac:dyDescent="0.2">
      <c r="A659" t="s">
        <v>657</v>
      </c>
      <c r="B659" t="s">
        <v>23</v>
      </c>
      <c r="C659">
        <v>8</v>
      </c>
      <c r="D659">
        <v>3</v>
      </c>
      <c r="E659" t="s">
        <v>29</v>
      </c>
      <c r="F659">
        <v>193.14</v>
      </c>
      <c r="G659">
        <v>37</v>
      </c>
      <c r="H659" t="s">
        <v>42</v>
      </c>
      <c r="I659" t="s">
        <v>25</v>
      </c>
      <c r="J659" t="s">
        <v>25</v>
      </c>
      <c r="K659">
        <v>193.14</v>
      </c>
      <c r="L659" t="s">
        <v>16</v>
      </c>
      <c r="M659" t="s">
        <v>16</v>
      </c>
      <c r="N659" t="s">
        <v>923</v>
      </c>
      <c r="O659">
        <f>_xlfn.XLOOKUP(customer_satisfaction_cleaned[[#This Row],[Product Category]],Table2[Product Category],Table2[Delivery SLA (Days)],"NA",0)</f>
        <v>7</v>
      </c>
      <c r="P6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0" spans="1:16" x14ac:dyDescent="0.2">
      <c r="A660" t="s">
        <v>17</v>
      </c>
      <c r="B660" t="s">
        <v>18</v>
      </c>
      <c r="C660">
        <v>9</v>
      </c>
      <c r="D660">
        <v>3</v>
      </c>
      <c r="E660" t="s">
        <v>32</v>
      </c>
      <c r="F660">
        <v>107.22</v>
      </c>
      <c r="G660">
        <v>27</v>
      </c>
      <c r="H660" t="s">
        <v>24</v>
      </c>
      <c r="I660" t="s">
        <v>13</v>
      </c>
      <c r="J660" t="s">
        <v>25</v>
      </c>
      <c r="K660">
        <v>107.22</v>
      </c>
      <c r="L660" t="s">
        <v>16</v>
      </c>
      <c r="M660" t="s">
        <v>16</v>
      </c>
      <c r="N660" t="s">
        <v>924</v>
      </c>
      <c r="O660">
        <f>_xlfn.XLOOKUP(customer_satisfaction_cleaned[[#This Row],[Product Category]],Table2[Product Category],Table2[Delivery SLA (Days)],"NA",0)</f>
        <v>10</v>
      </c>
      <c r="P6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1" spans="1:16" x14ac:dyDescent="0.2">
      <c r="A661" t="s">
        <v>658</v>
      </c>
      <c r="B661" t="s">
        <v>18</v>
      </c>
      <c r="C661">
        <v>4</v>
      </c>
      <c r="D661">
        <v>6</v>
      </c>
      <c r="E661" t="s">
        <v>19</v>
      </c>
      <c r="F661">
        <v>138.07</v>
      </c>
      <c r="G661">
        <v>42</v>
      </c>
      <c r="H661" t="s">
        <v>15</v>
      </c>
      <c r="I661" t="s">
        <v>21</v>
      </c>
      <c r="J661" t="s">
        <v>15</v>
      </c>
      <c r="K661">
        <v>138.07</v>
      </c>
      <c r="L661" t="s">
        <v>16</v>
      </c>
      <c r="M661" t="s">
        <v>16</v>
      </c>
      <c r="N661" t="s">
        <v>923</v>
      </c>
      <c r="O661">
        <f>_xlfn.XLOOKUP(customer_satisfaction_cleaned[[#This Row],[Product Category]],Table2[Product Category],Table2[Delivery SLA (Days)],"NA",0)</f>
        <v>10</v>
      </c>
      <c r="P6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2" spans="1:16" x14ac:dyDescent="0.2">
      <c r="A662" t="s">
        <v>659</v>
      </c>
      <c r="B662" t="s">
        <v>47</v>
      </c>
      <c r="C662">
        <v>4</v>
      </c>
      <c r="D662">
        <v>4</v>
      </c>
      <c r="E662" t="s">
        <v>13</v>
      </c>
      <c r="F662">
        <v>32.770000000000003</v>
      </c>
      <c r="G662">
        <v>21</v>
      </c>
      <c r="H662" t="s">
        <v>29</v>
      </c>
      <c r="I662" t="s">
        <v>13</v>
      </c>
      <c r="J662" t="s">
        <v>25</v>
      </c>
      <c r="K662">
        <v>32.770000000000003</v>
      </c>
      <c r="L662" t="s">
        <v>16</v>
      </c>
      <c r="M662" t="s">
        <v>16</v>
      </c>
      <c r="N662" t="s">
        <v>924</v>
      </c>
      <c r="O662">
        <f>_xlfn.XLOOKUP(customer_satisfaction_cleaned[[#This Row],[Product Category]],Table2[Product Category],Table2[Delivery SLA (Days)],"NA",0)</f>
        <v>7</v>
      </c>
      <c r="P6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3" spans="1:16" x14ac:dyDescent="0.2">
      <c r="A663" t="s">
        <v>660</v>
      </c>
      <c r="B663" t="s">
        <v>18</v>
      </c>
      <c r="C663">
        <v>6</v>
      </c>
      <c r="D663">
        <v>9</v>
      </c>
      <c r="E663" t="s">
        <v>21</v>
      </c>
      <c r="F663">
        <v>160.15</v>
      </c>
      <c r="G663">
        <v>19</v>
      </c>
      <c r="H663" t="s">
        <v>14</v>
      </c>
      <c r="I663" t="s">
        <v>21</v>
      </c>
      <c r="J663" t="s">
        <v>15</v>
      </c>
      <c r="K663">
        <v>160.15</v>
      </c>
      <c r="L663" t="s">
        <v>16</v>
      </c>
      <c r="M663" t="s">
        <v>16</v>
      </c>
      <c r="N663" t="s">
        <v>924</v>
      </c>
      <c r="O663">
        <f>_xlfn.XLOOKUP(customer_satisfaction_cleaned[[#This Row],[Product Category]],Table2[Product Category],Table2[Delivery SLA (Days)],"NA",0)</f>
        <v>10</v>
      </c>
      <c r="P6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4" spans="1:16" x14ac:dyDescent="0.2">
      <c r="A664" t="s">
        <v>661</v>
      </c>
      <c r="B664" t="s">
        <v>18</v>
      </c>
      <c r="C664">
        <v>8</v>
      </c>
      <c r="D664">
        <v>5</v>
      </c>
      <c r="E664" t="s">
        <v>29</v>
      </c>
      <c r="F664">
        <v>152.01</v>
      </c>
      <c r="G664">
        <v>43</v>
      </c>
      <c r="H664" t="s">
        <v>34</v>
      </c>
      <c r="I664" t="s">
        <v>25</v>
      </c>
      <c r="J664" t="s">
        <v>25</v>
      </c>
      <c r="K664">
        <v>152.01</v>
      </c>
      <c r="L664" t="s">
        <v>16</v>
      </c>
      <c r="M664" t="s">
        <v>16</v>
      </c>
      <c r="N664" t="s">
        <v>923</v>
      </c>
      <c r="O664">
        <f>_xlfn.XLOOKUP(customer_satisfaction_cleaned[[#This Row],[Product Category]],Table2[Product Category],Table2[Delivery SLA (Days)],"NA",0)</f>
        <v>10</v>
      </c>
      <c r="P6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5" spans="1:16" x14ac:dyDescent="0.2">
      <c r="A665" t="s">
        <v>662</v>
      </c>
      <c r="B665" t="s">
        <v>18</v>
      </c>
      <c r="C665">
        <v>7</v>
      </c>
      <c r="D665">
        <v>1</v>
      </c>
      <c r="E665" t="s">
        <v>29</v>
      </c>
      <c r="F665">
        <v>91.25</v>
      </c>
      <c r="G665">
        <v>20</v>
      </c>
      <c r="H665" t="s">
        <v>15</v>
      </c>
      <c r="I665" t="s">
        <v>25</v>
      </c>
      <c r="J665" t="s">
        <v>15</v>
      </c>
      <c r="K665">
        <v>91.25</v>
      </c>
      <c r="L665" t="s">
        <v>16</v>
      </c>
      <c r="M665" t="s">
        <v>16</v>
      </c>
      <c r="N665" t="s">
        <v>924</v>
      </c>
      <c r="O665">
        <f>_xlfn.XLOOKUP(customer_satisfaction_cleaned[[#This Row],[Product Category]],Table2[Product Category],Table2[Delivery SLA (Days)],"NA",0)</f>
        <v>10</v>
      </c>
      <c r="P6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6" spans="1:16" x14ac:dyDescent="0.2">
      <c r="A666" t="s">
        <v>663</v>
      </c>
      <c r="B666" t="s">
        <v>12</v>
      </c>
      <c r="C666">
        <v>6</v>
      </c>
      <c r="D666">
        <v>4</v>
      </c>
      <c r="E666" t="s">
        <v>21</v>
      </c>
      <c r="F666">
        <v>114.15</v>
      </c>
      <c r="G666">
        <v>42</v>
      </c>
      <c r="H666" t="s">
        <v>44</v>
      </c>
      <c r="I666" t="s">
        <v>21</v>
      </c>
      <c r="J666" t="s">
        <v>20</v>
      </c>
      <c r="K666">
        <v>114.15</v>
      </c>
      <c r="L666" t="s">
        <v>16</v>
      </c>
      <c r="M666" t="s">
        <v>16</v>
      </c>
      <c r="N666" t="s">
        <v>923</v>
      </c>
      <c r="O666">
        <f>_xlfn.XLOOKUP(customer_satisfaction_cleaned[[#This Row],[Product Category]],Table2[Product Category],Table2[Delivery SLA (Days)],"NA",0)</f>
        <v>5</v>
      </c>
      <c r="P6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7" spans="1:16" x14ac:dyDescent="0.2">
      <c r="A667" t="s">
        <v>664</v>
      </c>
      <c r="B667" t="s">
        <v>47</v>
      </c>
      <c r="C667">
        <v>9</v>
      </c>
      <c r="D667">
        <v>8</v>
      </c>
      <c r="E667" t="s">
        <v>13</v>
      </c>
      <c r="F667">
        <v>26.89</v>
      </c>
      <c r="G667">
        <v>60</v>
      </c>
      <c r="H667" t="s">
        <v>44</v>
      </c>
      <c r="I667" t="s">
        <v>13</v>
      </c>
      <c r="J667" t="s">
        <v>20</v>
      </c>
      <c r="K667">
        <v>26.89</v>
      </c>
      <c r="L667" t="s">
        <v>16</v>
      </c>
      <c r="M667" t="s">
        <v>16</v>
      </c>
      <c r="N667" t="s">
        <v>925</v>
      </c>
      <c r="O667">
        <f>_xlfn.XLOOKUP(customer_satisfaction_cleaned[[#This Row],[Product Category]],Table2[Product Category],Table2[Delivery SLA (Days)],"NA",0)</f>
        <v>7</v>
      </c>
      <c r="P6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68" spans="1:16" x14ac:dyDescent="0.2">
      <c r="A668" t="s">
        <v>665</v>
      </c>
      <c r="B668" t="s">
        <v>12</v>
      </c>
      <c r="C668">
        <v>8</v>
      </c>
      <c r="D668">
        <v>10</v>
      </c>
      <c r="E668" t="s">
        <v>13</v>
      </c>
      <c r="F668">
        <v>157.34</v>
      </c>
      <c r="G668">
        <v>0</v>
      </c>
      <c r="H668" t="s">
        <v>44</v>
      </c>
      <c r="I668" t="s">
        <v>13</v>
      </c>
      <c r="J668" t="s">
        <v>20</v>
      </c>
      <c r="K668">
        <v>157.34</v>
      </c>
      <c r="L668" t="s">
        <v>16</v>
      </c>
      <c r="M668" t="s">
        <v>16</v>
      </c>
      <c r="N668" t="s">
        <v>926</v>
      </c>
      <c r="O668">
        <f>_xlfn.XLOOKUP(customer_satisfaction_cleaned[[#This Row],[Product Category]],Table2[Product Category],Table2[Delivery SLA (Days)],"NA",0)</f>
        <v>5</v>
      </c>
      <c r="P6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69" spans="1:16" x14ac:dyDescent="0.2">
      <c r="A669" t="s">
        <v>666</v>
      </c>
      <c r="B669" t="s">
        <v>36</v>
      </c>
      <c r="C669">
        <v>5</v>
      </c>
      <c r="D669">
        <v>7</v>
      </c>
      <c r="E669" t="s">
        <v>21</v>
      </c>
      <c r="F669">
        <v>54.15</v>
      </c>
      <c r="G669">
        <v>24</v>
      </c>
      <c r="H669" t="s">
        <v>14</v>
      </c>
      <c r="I669" t="s">
        <v>21</v>
      </c>
      <c r="J669" t="s">
        <v>15</v>
      </c>
      <c r="K669">
        <v>54.15</v>
      </c>
      <c r="L669" t="s">
        <v>16</v>
      </c>
      <c r="M669" t="s">
        <v>16</v>
      </c>
      <c r="N669" t="s">
        <v>924</v>
      </c>
      <c r="O669" t="str">
        <f>_xlfn.XLOOKUP(customer_satisfaction_cleaned[[#This Row],[Product Category]],Table2[Product Category],Table2[Delivery SLA (Days)],"NA",0)</f>
        <v>NA</v>
      </c>
      <c r="P6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70" spans="1:16" x14ac:dyDescent="0.2">
      <c r="A670" t="s">
        <v>17</v>
      </c>
      <c r="B670" t="s">
        <v>18</v>
      </c>
      <c r="C670">
        <v>7</v>
      </c>
      <c r="D670">
        <v>4</v>
      </c>
      <c r="E670" t="s">
        <v>21</v>
      </c>
      <c r="F670">
        <v>130.41999999999999</v>
      </c>
      <c r="G670">
        <v>39</v>
      </c>
      <c r="H670" t="s">
        <v>15</v>
      </c>
      <c r="I670" t="s">
        <v>21</v>
      </c>
      <c r="J670" t="s">
        <v>15</v>
      </c>
      <c r="K670">
        <v>130.41999999999999</v>
      </c>
      <c r="L670" t="s">
        <v>16</v>
      </c>
      <c r="M670" t="s">
        <v>16</v>
      </c>
      <c r="N670" t="s">
        <v>923</v>
      </c>
      <c r="O670">
        <f>_xlfn.XLOOKUP(customer_satisfaction_cleaned[[#This Row],[Product Category]],Table2[Product Category],Table2[Delivery SLA (Days)],"NA",0)</f>
        <v>10</v>
      </c>
      <c r="P6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1" spans="1:16" x14ac:dyDescent="0.2">
      <c r="A671" t="s">
        <v>667</v>
      </c>
      <c r="B671" t="s">
        <v>12</v>
      </c>
      <c r="C671">
        <v>8</v>
      </c>
      <c r="D671">
        <v>4</v>
      </c>
      <c r="E671" t="s">
        <v>34</v>
      </c>
      <c r="F671">
        <v>61.35</v>
      </c>
      <c r="G671">
        <v>51</v>
      </c>
      <c r="H671" t="s">
        <v>44</v>
      </c>
      <c r="I671" t="s">
        <v>25</v>
      </c>
      <c r="J671" t="s">
        <v>20</v>
      </c>
      <c r="K671">
        <v>61.35</v>
      </c>
      <c r="L671" t="s">
        <v>16</v>
      </c>
      <c r="M671" t="s">
        <v>16</v>
      </c>
      <c r="N671" t="s">
        <v>923</v>
      </c>
      <c r="O671">
        <f>_xlfn.XLOOKUP(customer_satisfaction_cleaned[[#This Row],[Product Category]],Table2[Product Category],Table2[Delivery SLA (Days)],"NA",0)</f>
        <v>5</v>
      </c>
      <c r="P6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2" spans="1:16" x14ac:dyDescent="0.2">
      <c r="A672" t="s">
        <v>668</v>
      </c>
      <c r="B672" t="s">
        <v>12</v>
      </c>
      <c r="C672">
        <v>6</v>
      </c>
      <c r="D672">
        <v>3</v>
      </c>
      <c r="E672" t="s">
        <v>21</v>
      </c>
      <c r="F672">
        <v>92.75</v>
      </c>
      <c r="G672">
        <v>31</v>
      </c>
      <c r="H672" t="s">
        <v>14</v>
      </c>
      <c r="I672" t="s">
        <v>21</v>
      </c>
      <c r="J672" t="s">
        <v>15</v>
      </c>
      <c r="K672">
        <v>92.75</v>
      </c>
      <c r="L672" t="s">
        <v>16</v>
      </c>
      <c r="M672" t="s">
        <v>16</v>
      </c>
      <c r="N672" t="s">
        <v>923</v>
      </c>
      <c r="O672">
        <f>_xlfn.XLOOKUP(customer_satisfaction_cleaned[[#This Row],[Product Category]],Table2[Product Category],Table2[Delivery SLA (Days)],"NA",0)</f>
        <v>5</v>
      </c>
      <c r="P6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3" spans="1:16" x14ac:dyDescent="0.2">
      <c r="A673" t="s">
        <v>669</v>
      </c>
      <c r="B673" t="s">
        <v>47</v>
      </c>
      <c r="C673">
        <v>11</v>
      </c>
      <c r="D673">
        <v>4</v>
      </c>
      <c r="E673" t="s">
        <v>21</v>
      </c>
      <c r="F673">
        <v>53.99</v>
      </c>
      <c r="G673">
        <v>49</v>
      </c>
      <c r="H673" t="s">
        <v>42</v>
      </c>
      <c r="I673" t="s">
        <v>21</v>
      </c>
      <c r="J673" t="s">
        <v>25</v>
      </c>
      <c r="K673">
        <v>53.99</v>
      </c>
      <c r="L673" t="s">
        <v>16</v>
      </c>
      <c r="M673" t="s">
        <v>16</v>
      </c>
      <c r="N673" t="s">
        <v>923</v>
      </c>
      <c r="O673">
        <f>_xlfn.XLOOKUP(customer_satisfaction_cleaned[[#This Row],[Product Category]],Table2[Product Category],Table2[Delivery SLA (Days)],"NA",0)</f>
        <v>7</v>
      </c>
      <c r="P6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4" spans="1:16" x14ac:dyDescent="0.2">
      <c r="A674" t="s">
        <v>670</v>
      </c>
      <c r="B674" t="s">
        <v>18</v>
      </c>
      <c r="C674">
        <v>5</v>
      </c>
      <c r="D674">
        <v>2</v>
      </c>
      <c r="E674" t="s">
        <v>29</v>
      </c>
      <c r="F674">
        <v>138.01</v>
      </c>
      <c r="G674">
        <v>16</v>
      </c>
      <c r="H674" t="s">
        <v>44</v>
      </c>
      <c r="I674" t="s">
        <v>25</v>
      </c>
      <c r="J674" t="s">
        <v>20</v>
      </c>
      <c r="K674">
        <v>138.01</v>
      </c>
      <c r="L674" t="s">
        <v>16</v>
      </c>
      <c r="M674" t="s">
        <v>16</v>
      </c>
      <c r="N674" t="s">
        <v>924</v>
      </c>
      <c r="O674">
        <f>_xlfn.XLOOKUP(customer_satisfaction_cleaned[[#This Row],[Product Category]],Table2[Product Category],Table2[Delivery SLA (Days)],"NA",0)</f>
        <v>10</v>
      </c>
      <c r="P6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5" spans="1:16" x14ac:dyDescent="0.2">
      <c r="A675" t="s">
        <v>671</v>
      </c>
      <c r="B675" t="s">
        <v>47</v>
      </c>
      <c r="C675">
        <v>8</v>
      </c>
      <c r="D675">
        <v>4</v>
      </c>
      <c r="E675" t="s">
        <v>21</v>
      </c>
      <c r="F675">
        <v>99.91</v>
      </c>
      <c r="G675">
        <v>21</v>
      </c>
      <c r="H675" t="s">
        <v>44</v>
      </c>
      <c r="I675" t="s">
        <v>21</v>
      </c>
      <c r="J675" t="s">
        <v>20</v>
      </c>
      <c r="K675">
        <v>99.91</v>
      </c>
      <c r="L675" t="s">
        <v>16</v>
      </c>
      <c r="M675" t="s">
        <v>16</v>
      </c>
      <c r="N675" t="s">
        <v>924</v>
      </c>
      <c r="O675">
        <f>_xlfn.XLOOKUP(customer_satisfaction_cleaned[[#This Row],[Product Category]],Table2[Product Category],Table2[Delivery SLA (Days)],"NA",0)</f>
        <v>7</v>
      </c>
      <c r="P6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6" spans="1:16" x14ac:dyDescent="0.2">
      <c r="A676" t="s">
        <v>672</v>
      </c>
      <c r="B676" t="s">
        <v>47</v>
      </c>
      <c r="C676">
        <v>6</v>
      </c>
      <c r="D676">
        <v>5</v>
      </c>
      <c r="E676" t="s">
        <v>29</v>
      </c>
      <c r="F676">
        <v>73.930000000000007</v>
      </c>
      <c r="G676">
        <v>33</v>
      </c>
      <c r="H676" t="s">
        <v>34</v>
      </c>
      <c r="I676" t="s">
        <v>25</v>
      </c>
      <c r="J676" t="s">
        <v>25</v>
      </c>
      <c r="K676">
        <v>73.930000000000007</v>
      </c>
      <c r="L676" t="s">
        <v>16</v>
      </c>
      <c r="M676" t="s">
        <v>16</v>
      </c>
      <c r="N676" t="s">
        <v>923</v>
      </c>
      <c r="O676">
        <f>_xlfn.XLOOKUP(customer_satisfaction_cleaned[[#This Row],[Product Category]],Table2[Product Category],Table2[Delivery SLA (Days)],"NA",0)</f>
        <v>7</v>
      </c>
      <c r="P6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7" spans="1:16" x14ac:dyDescent="0.2">
      <c r="A677" t="s">
        <v>673</v>
      </c>
      <c r="B677" t="s">
        <v>18</v>
      </c>
      <c r="C677">
        <v>9</v>
      </c>
      <c r="D677">
        <v>5</v>
      </c>
      <c r="E677" t="s">
        <v>29</v>
      </c>
      <c r="F677">
        <v>133.97999999999999</v>
      </c>
      <c r="G677">
        <v>40</v>
      </c>
      <c r="H677" t="s">
        <v>34</v>
      </c>
      <c r="I677" t="s">
        <v>25</v>
      </c>
      <c r="J677" t="s">
        <v>25</v>
      </c>
      <c r="K677">
        <v>133.97999999999999</v>
      </c>
      <c r="L677" t="s">
        <v>16</v>
      </c>
      <c r="M677" t="s">
        <v>16</v>
      </c>
      <c r="N677" t="s">
        <v>923</v>
      </c>
      <c r="O677">
        <f>_xlfn.XLOOKUP(customer_satisfaction_cleaned[[#This Row],[Product Category]],Table2[Product Category],Table2[Delivery SLA (Days)],"NA",0)</f>
        <v>10</v>
      </c>
      <c r="P6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8" spans="1:16" x14ac:dyDescent="0.2">
      <c r="A678" t="s">
        <v>674</v>
      </c>
      <c r="B678" t="s">
        <v>12</v>
      </c>
      <c r="C678">
        <v>6</v>
      </c>
      <c r="E678" t="s">
        <v>21</v>
      </c>
      <c r="F678">
        <v>672</v>
      </c>
      <c r="G678">
        <v>35</v>
      </c>
      <c r="H678" t="s">
        <v>24</v>
      </c>
      <c r="I678" t="s">
        <v>21</v>
      </c>
      <c r="J678" t="s">
        <v>25</v>
      </c>
      <c r="K678">
        <v>672</v>
      </c>
      <c r="L678" t="s">
        <v>16</v>
      </c>
      <c r="M678" t="s">
        <v>937</v>
      </c>
      <c r="N678" t="s">
        <v>923</v>
      </c>
      <c r="O678">
        <f>_xlfn.XLOOKUP(customer_satisfaction_cleaned[[#This Row],[Product Category]],Table2[Product Category],Table2[Delivery SLA (Days)],"NA",0)</f>
        <v>5</v>
      </c>
      <c r="P6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79" spans="1:16" x14ac:dyDescent="0.2">
      <c r="A679" t="s">
        <v>675</v>
      </c>
      <c r="B679" t="s">
        <v>23</v>
      </c>
      <c r="C679">
        <v>8</v>
      </c>
      <c r="D679">
        <v>9</v>
      </c>
      <c r="E679" t="s">
        <v>32</v>
      </c>
      <c r="F679">
        <v>185.63</v>
      </c>
      <c r="G679">
        <v>34</v>
      </c>
      <c r="H679" t="s">
        <v>20</v>
      </c>
      <c r="I679" t="s">
        <v>13</v>
      </c>
      <c r="J679" t="s">
        <v>20</v>
      </c>
      <c r="K679">
        <v>185.63</v>
      </c>
      <c r="L679" t="s">
        <v>16</v>
      </c>
      <c r="M679" t="s">
        <v>16</v>
      </c>
      <c r="N679" t="s">
        <v>923</v>
      </c>
      <c r="O679">
        <f>_xlfn.XLOOKUP(customer_satisfaction_cleaned[[#This Row],[Product Category]],Table2[Product Category],Table2[Delivery SLA (Days)],"NA",0)</f>
        <v>7</v>
      </c>
      <c r="P6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80" spans="1:16" x14ac:dyDescent="0.2">
      <c r="A680" t="s">
        <v>676</v>
      </c>
      <c r="B680" t="s">
        <v>47</v>
      </c>
      <c r="C680">
        <v>4</v>
      </c>
      <c r="D680">
        <v>3</v>
      </c>
      <c r="E680" t="s">
        <v>32</v>
      </c>
      <c r="F680">
        <v>36.770000000000003</v>
      </c>
      <c r="G680">
        <v>24</v>
      </c>
      <c r="H680" t="s">
        <v>29</v>
      </c>
      <c r="I680" t="s">
        <v>13</v>
      </c>
      <c r="J680" t="s">
        <v>25</v>
      </c>
      <c r="K680">
        <v>36.770000000000003</v>
      </c>
      <c r="L680" t="s">
        <v>16</v>
      </c>
      <c r="M680" t="s">
        <v>16</v>
      </c>
      <c r="N680" t="s">
        <v>924</v>
      </c>
      <c r="O680">
        <f>_xlfn.XLOOKUP(customer_satisfaction_cleaned[[#This Row],[Product Category]],Table2[Product Category],Table2[Delivery SLA (Days)],"NA",0)</f>
        <v>7</v>
      </c>
      <c r="P6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81" spans="1:16" x14ac:dyDescent="0.2">
      <c r="A681" t="s">
        <v>677</v>
      </c>
      <c r="B681" t="s">
        <v>36</v>
      </c>
      <c r="C681">
        <v>5</v>
      </c>
      <c r="D681">
        <v>5</v>
      </c>
      <c r="E681" t="s">
        <v>34</v>
      </c>
      <c r="F681">
        <v>85.07</v>
      </c>
      <c r="G681">
        <v>21</v>
      </c>
      <c r="H681" t="s">
        <v>20</v>
      </c>
      <c r="I681" t="s">
        <v>25</v>
      </c>
      <c r="J681" t="s">
        <v>20</v>
      </c>
      <c r="K681">
        <v>85.07</v>
      </c>
      <c r="L681" t="s">
        <v>16</v>
      </c>
      <c r="M681" t="s">
        <v>16</v>
      </c>
      <c r="N681" t="s">
        <v>924</v>
      </c>
      <c r="O681" t="str">
        <f>_xlfn.XLOOKUP(customer_satisfaction_cleaned[[#This Row],[Product Category]],Table2[Product Category],Table2[Delivery SLA (Days)],"NA",0)</f>
        <v>NA</v>
      </c>
      <c r="P6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82" spans="1:16" x14ac:dyDescent="0.2">
      <c r="A682" t="s">
        <v>678</v>
      </c>
      <c r="B682" t="s">
        <v>12</v>
      </c>
      <c r="D682">
        <v>6</v>
      </c>
      <c r="E682" t="s">
        <v>21</v>
      </c>
      <c r="F682">
        <v>96.91</v>
      </c>
      <c r="G682">
        <v>17</v>
      </c>
      <c r="H682" t="s">
        <v>15</v>
      </c>
      <c r="I682" t="s">
        <v>21</v>
      </c>
      <c r="J682" t="s">
        <v>15</v>
      </c>
      <c r="K682">
        <v>96.91</v>
      </c>
      <c r="L682" t="s">
        <v>936</v>
      </c>
      <c r="M682" t="s">
        <v>16</v>
      </c>
      <c r="N682" t="s">
        <v>924</v>
      </c>
      <c r="O682">
        <f>_xlfn.XLOOKUP(customer_satisfaction_cleaned[[#This Row],[Product Category]],Table2[Product Category],Table2[Delivery SLA (Days)],"NA",0)</f>
        <v>5</v>
      </c>
      <c r="P6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83" spans="1:16" x14ac:dyDescent="0.2">
      <c r="A683" t="s">
        <v>679</v>
      </c>
      <c r="B683" t="s">
        <v>12</v>
      </c>
      <c r="C683">
        <v>8</v>
      </c>
      <c r="D683">
        <v>6</v>
      </c>
      <c r="E683" t="s">
        <v>29</v>
      </c>
      <c r="F683">
        <v>129.78</v>
      </c>
      <c r="G683">
        <v>6</v>
      </c>
      <c r="H683" t="s">
        <v>20</v>
      </c>
      <c r="I683" t="s">
        <v>25</v>
      </c>
      <c r="J683" t="s">
        <v>20</v>
      </c>
      <c r="K683">
        <v>129.78</v>
      </c>
      <c r="L683" t="s">
        <v>16</v>
      </c>
      <c r="M683" t="s">
        <v>16</v>
      </c>
      <c r="N683" t="s">
        <v>926</v>
      </c>
      <c r="O683">
        <f>_xlfn.XLOOKUP(customer_satisfaction_cleaned[[#This Row],[Product Category]],Table2[Product Category],Table2[Delivery SLA (Days)],"NA",0)</f>
        <v>5</v>
      </c>
      <c r="P6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84" spans="1:16" x14ac:dyDescent="0.2">
      <c r="A684" t="s">
        <v>680</v>
      </c>
      <c r="B684" t="s">
        <v>18</v>
      </c>
      <c r="C684">
        <v>7</v>
      </c>
      <c r="E684" t="s">
        <v>32</v>
      </c>
      <c r="F684">
        <v>170.07</v>
      </c>
      <c r="G684">
        <v>34</v>
      </c>
      <c r="H684" t="s">
        <v>20</v>
      </c>
      <c r="I684" t="s">
        <v>13</v>
      </c>
      <c r="J684" t="s">
        <v>20</v>
      </c>
      <c r="K684">
        <v>170.07</v>
      </c>
      <c r="L684" t="s">
        <v>16</v>
      </c>
      <c r="M684" t="s">
        <v>937</v>
      </c>
      <c r="N684" t="s">
        <v>923</v>
      </c>
      <c r="O684">
        <f>_xlfn.XLOOKUP(customer_satisfaction_cleaned[[#This Row],[Product Category]],Table2[Product Category],Table2[Delivery SLA (Days)],"NA",0)</f>
        <v>10</v>
      </c>
      <c r="P6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85" spans="1:16" x14ac:dyDescent="0.2">
      <c r="A685" t="s">
        <v>17</v>
      </c>
      <c r="B685" t="s">
        <v>47</v>
      </c>
      <c r="C685">
        <v>10</v>
      </c>
      <c r="D685">
        <v>3</v>
      </c>
      <c r="E685" t="s">
        <v>32</v>
      </c>
      <c r="F685">
        <v>148.65</v>
      </c>
      <c r="G685">
        <v>34</v>
      </c>
      <c r="H685" t="s">
        <v>42</v>
      </c>
      <c r="I685" t="s">
        <v>13</v>
      </c>
      <c r="J685" t="s">
        <v>25</v>
      </c>
      <c r="K685">
        <v>148.65</v>
      </c>
      <c r="L685" t="s">
        <v>16</v>
      </c>
      <c r="M685" t="s">
        <v>16</v>
      </c>
      <c r="N685" t="s">
        <v>923</v>
      </c>
      <c r="O685">
        <f>_xlfn.XLOOKUP(customer_satisfaction_cleaned[[#This Row],[Product Category]],Table2[Product Category],Table2[Delivery SLA (Days)],"NA",0)</f>
        <v>7</v>
      </c>
      <c r="P6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86" spans="1:16" x14ac:dyDescent="0.2">
      <c r="A686" t="s">
        <v>681</v>
      </c>
      <c r="B686" t="s">
        <v>12</v>
      </c>
      <c r="C686">
        <v>4</v>
      </c>
      <c r="D686">
        <v>7</v>
      </c>
      <c r="E686" t="s">
        <v>21</v>
      </c>
      <c r="F686">
        <v>22.32</v>
      </c>
      <c r="G686">
        <v>31</v>
      </c>
      <c r="H686" t="s">
        <v>14</v>
      </c>
      <c r="I686" t="s">
        <v>21</v>
      </c>
      <c r="J686" t="s">
        <v>15</v>
      </c>
      <c r="K686">
        <v>22.32</v>
      </c>
      <c r="L686" t="s">
        <v>16</v>
      </c>
      <c r="M686" t="s">
        <v>16</v>
      </c>
      <c r="N686" t="s">
        <v>923</v>
      </c>
      <c r="O686">
        <f>_xlfn.XLOOKUP(customer_satisfaction_cleaned[[#This Row],[Product Category]],Table2[Product Category],Table2[Delivery SLA (Days)],"NA",0)</f>
        <v>5</v>
      </c>
      <c r="P6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87" spans="1:16" x14ac:dyDescent="0.2">
      <c r="A687" t="s">
        <v>682</v>
      </c>
      <c r="B687" t="s">
        <v>47</v>
      </c>
      <c r="C687">
        <v>9</v>
      </c>
      <c r="D687">
        <v>5</v>
      </c>
      <c r="E687" t="s">
        <v>34</v>
      </c>
      <c r="F687">
        <v>10379</v>
      </c>
      <c r="G687">
        <v>54</v>
      </c>
      <c r="H687" t="s">
        <v>20</v>
      </c>
      <c r="I687" t="s">
        <v>25</v>
      </c>
      <c r="J687" t="s">
        <v>20</v>
      </c>
      <c r="K687">
        <v>10379</v>
      </c>
      <c r="L687" t="s">
        <v>16</v>
      </c>
      <c r="M687" t="s">
        <v>16</v>
      </c>
      <c r="N687" t="s">
        <v>923</v>
      </c>
      <c r="O687">
        <f>_xlfn.XLOOKUP(customer_satisfaction_cleaned[[#This Row],[Product Category]],Table2[Product Category],Table2[Delivery SLA (Days)],"NA",0)</f>
        <v>7</v>
      </c>
      <c r="P6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88" spans="1:16" x14ac:dyDescent="0.2">
      <c r="A688" t="s">
        <v>683</v>
      </c>
      <c r="B688" t="s">
        <v>12</v>
      </c>
      <c r="C688">
        <v>4</v>
      </c>
      <c r="D688">
        <v>8</v>
      </c>
      <c r="E688" t="s">
        <v>32</v>
      </c>
      <c r="F688">
        <v>131.78</v>
      </c>
      <c r="G688">
        <v>37</v>
      </c>
      <c r="H688" t="s">
        <v>42</v>
      </c>
      <c r="I688" t="s">
        <v>13</v>
      </c>
      <c r="J688" t="s">
        <v>25</v>
      </c>
      <c r="K688">
        <v>131.78</v>
      </c>
      <c r="L688" t="s">
        <v>16</v>
      </c>
      <c r="M688" t="s">
        <v>16</v>
      </c>
      <c r="N688" t="s">
        <v>923</v>
      </c>
      <c r="O688">
        <f>_xlfn.XLOOKUP(customer_satisfaction_cleaned[[#This Row],[Product Category]],Table2[Product Category],Table2[Delivery SLA (Days)],"NA",0)</f>
        <v>5</v>
      </c>
      <c r="P6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89" spans="1:16" x14ac:dyDescent="0.2">
      <c r="A689" t="s">
        <v>684</v>
      </c>
      <c r="B689" t="s">
        <v>12</v>
      </c>
      <c r="C689">
        <v>11</v>
      </c>
      <c r="D689">
        <v>7</v>
      </c>
      <c r="E689" t="s">
        <v>29</v>
      </c>
      <c r="F689">
        <v>100.09</v>
      </c>
      <c r="G689">
        <v>0</v>
      </c>
      <c r="H689" t="s">
        <v>15</v>
      </c>
      <c r="I689" t="s">
        <v>25</v>
      </c>
      <c r="J689" t="s">
        <v>15</v>
      </c>
      <c r="K689">
        <v>100.09</v>
      </c>
      <c r="L689" t="s">
        <v>16</v>
      </c>
      <c r="M689" t="s">
        <v>16</v>
      </c>
      <c r="N689" t="s">
        <v>926</v>
      </c>
      <c r="O689">
        <f>_xlfn.XLOOKUP(customer_satisfaction_cleaned[[#This Row],[Product Category]],Table2[Product Category],Table2[Delivery SLA (Days)],"NA",0)</f>
        <v>5</v>
      </c>
      <c r="P6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90" spans="1:16" x14ac:dyDescent="0.2">
      <c r="A690" t="s">
        <v>685</v>
      </c>
      <c r="B690" t="s">
        <v>47</v>
      </c>
      <c r="C690">
        <v>7</v>
      </c>
      <c r="D690">
        <v>6</v>
      </c>
      <c r="E690" t="s">
        <v>19</v>
      </c>
      <c r="F690">
        <v>69.25</v>
      </c>
      <c r="G690">
        <v>44</v>
      </c>
      <c r="H690" t="s">
        <v>42</v>
      </c>
      <c r="I690" t="s">
        <v>21</v>
      </c>
      <c r="J690" t="s">
        <v>25</v>
      </c>
      <c r="K690">
        <v>69.25</v>
      </c>
      <c r="L690" t="s">
        <v>16</v>
      </c>
      <c r="M690" t="s">
        <v>16</v>
      </c>
      <c r="N690" t="s">
        <v>923</v>
      </c>
      <c r="O690">
        <f>_xlfn.XLOOKUP(customer_satisfaction_cleaned[[#This Row],[Product Category]],Table2[Product Category],Table2[Delivery SLA (Days)],"NA",0)</f>
        <v>7</v>
      </c>
      <c r="P6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1" spans="1:16" x14ac:dyDescent="0.2">
      <c r="A691" t="s">
        <v>686</v>
      </c>
      <c r="B691" t="s">
        <v>18</v>
      </c>
      <c r="C691">
        <v>6</v>
      </c>
      <c r="D691">
        <v>6</v>
      </c>
      <c r="E691" t="s">
        <v>34</v>
      </c>
      <c r="F691">
        <v>142.61000000000001</v>
      </c>
      <c r="G691">
        <v>57</v>
      </c>
      <c r="H691" t="s">
        <v>34</v>
      </c>
      <c r="I691" t="s">
        <v>25</v>
      </c>
      <c r="J691" t="s">
        <v>25</v>
      </c>
      <c r="K691">
        <v>142.61000000000001</v>
      </c>
      <c r="L691" t="s">
        <v>16</v>
      </c>
      <c r="M691" t="s">
        <v>16</v>
      </c>
      <c r="N691" t="s">
        <v>923</v>
      </c>
      <c r="O691">
        <f>_xlfn.XLOOKUP(customer_satisfaction_cleaned[[#This Row],[Product Category]],Table2[Product Category],Table2[Delivery SLA (Days)],"NA",0)</f>
        <v>10</v>
      </c>
      <c r="P6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2" spans="1:16" x14ac:dyDescent="0.2">
      <c r="A692" t="s">
        <v>687</v>
      </c>
      <c r="B692" t="s">
        <v>47</v>
      </c>
      <c r="C692">
        <v>7</v>
      </c>
      <c r="D692">
        <v>4</v>
      </c>
      <c r="E692" t="s">
        <v>29</v>
      </c>
      <c r="F692">
        <v>111.77</v>
      </c>
      <c r="G692">
        <v>29</v>
      </c>
      <c r="H692" t="s">
        <v>15</v>
      </c>
      <c r="I692" t="s">
        <v>25</v>
      </c>
      <c r="J692" t="s">
        <v>15</v>
      </c>
      <c r="K692">
        <v>111.77</v>
      </c>
      <c r="L692" t="s">
        <v>16</v>
      </c>
      <c r="M692" t="s">
        <v>16</v>
      </c>
      <c r="N692" t="s">
        <v>924</v>
      </c>
      <c r="O692">
        <f>_xlfn.XLOOKUP(customer_satisfaction_cleaned[[#This Row],[Product Category]],Table2[Product Category],Table2[Delivery SLA (Days)],"NA",0)</f>
        <v>7</v>
      </c>
      <c r="P6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3" spans="1:16" x14ac:dyDescent="0.2">
      <c r="A693" t="s">
        <v>688</v>
      </c>
      <c r="B693" t="s">
        <v>18</v>
      </c>
      <c r="C693">
        <v>7</v>
      </c>
      <c r="D693">
        <v>3</v>
      </c>
      <c r="E693" t="s">
        <v>29</v>
      </c>
      <c r="F693">
        <v>82.46</v>
      </c>
      <c r="G693">
        <v>43</v>
      </c>
      <c r="H693" t="s">
        <v>42</v>
      </c>
      <c r="I693" t="s">
        <v>25</v>
      </c>
      <c r="J693" t="s">
        <v>25</v>
      </c>
      <c r="K693">
        <v>82.46</v>
      </c>
      <c r="L693" t="s">
        <v>16</v>
      </c>
      <c r="M693" t="s">
        <v>16</v>
      </c>
      <c r="N693" t="s">
        <v>923</v>
      </c>
      <c r="O693">
        <f>_xlfn.XLOOKUP(customer_satisfaction_cleaned[[#This Row],[Product Category]],Table2[Product Category],Table2[Delivery SLA (Days)],"NA",0)</f>
        <v>10</v>
      </c>
      <c r="P6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4" spans="1:16" x14ac:dyDescent="0.2">
      <c r="A694" t="s">
        <v>689</v>
      </c>
      <c r="B694" t="s">
        <v>47</v>
      </c>
      <c r="D694">
        <v>4</v>
      </c>
      <c r="E694" t="s">
        <v>21</v>
      </c>
      <c r="F694">
        <v>108.33</v>
      </c>
      <c r="G694">
        <v>29</v>
      </c>
      <c r="H694" t="s">
        <v>29</v>
      </c>
      <c r="I694" t="s">
        <v>21</v>
      </c>
      <c r="J694" t="s">
        <v>25</v>
      </c>
      <c r="K694">
        <v>108.33</v>
      </c>
      <c r="L694" t="s">
        <v>936</v>
      </c>
      <c r="M694" t="s">
        <v>16</v>
      </c>
      <c r="N694" t="s">
        <v>924</v>
      </c>
      <c r="O694">
        <f>_xlfn.XLOOKUP(customer_satisfaction_cleaned[[#This Row],[Product Category]],Table2[Product Category],Table2[Delivery SLA (Days)],"NA",0)</f>
        <v>7</v>
      </c>
      <c r="P6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5" spans="1:16" x14ac:dyDescent="0.2">
      <c r="A695" t="s">
        <v>690</v>
      </c>
      <c r="B695" t="s">
        <v>47</v>
      </c>
      <c r="C695">
        <v>8</v>
      </c>
      <c r="D695">
        <v>5</v>
      </c>
      <c r="E695" t="s">
        <v>32</v>
      </c>
      <c r="F695">
        <v>27.53</v>
      </c>
      <c r="G695">
        <v>50</v>
      </c>
      <c r="H695" t="s">
        <v>24</v>
      </c>
      <c r="I695" t="s">
        <v>13</v>
      </c>
      <c r="J695" t="s">
        <v>25</v>
      </c>
      <c r="K695">
        <v>27.53</v>
      </c>
      <c r="L695" t="s">
        <v>16</v>
      </c>
      <c r="M695" t="s">
        <v>16</v>
      </c>
      <c r="N695" t="s">
        <v>923</v>
      </c>
      <c r="O695">
        <f>_xlfn.XLOOKUP(customer_satisfaction_cleaned[[#This Row],[Product Category]],Table2[Product Category],Table2[Delivery SLA (Days)],"NA",0)</f>
        <v>7</v>
      </c>
      <c r="P6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6" spans="1:16" x14ac:dyDescent="0.2">
      <c r="A696" t="s">
        <v>691</v>
      </c>
      <c r="B696" t="s">
        <v>47</v>
      </c>
      <c r="C696">
        <v>9</v>
      </c>
      <c r="D696">
        <v>1</v>
      </c>
      <c r="E696" t="s">
        <v>21</v>
      </c>
      <c r="F696">
        <v>135.5</v>
      </c>
      <c r="G696">
        <v>49</v>
      </c>
      <c r="H696" t="s">
        <v>24</v>
      </c>
      <c r="I696" t="s">
        <v>21</v>
      </c>
      <c r="J696" t="s">
        <v>25</v>
      </c>
      <c r="K696">
        <v>135.5</v>
      </c>
      <c r="L696" t="s">
        <v>16</v>
      </c>
      <c r="M696" t="s">
        <v>16</v>
      </c>
      <c r="N696" t="s">
        <v>923</v>
      </c>
      <c r="O696">
        <f>_xlfn.XLOOKUP(customer_satisfaction_cleaned[[#This Row],[Product Category]],Table2[Product Category],Table2[Delivery SLA (Days)],"NA",0)</f>
        <v>7</v>
      </c>
      <c r="P6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7" spans="1:16" x14ac:dyDescent="0.2">
      <c r="A697" t="s">
        <v>692</v>
      </c>
      <c r="B697" t="s">
        <v>23</v>
      </c>
      <c r="C697">
        <v>5</v>
      </c>
      <c r="D697">
        <v>6</v>
      </c>
      <c r="E697" t="s">
        <v>13</v>
      </c>
      <c r="F697">
        <v>153.63999999999999</v>
      </c>
      <c r="G697">
        <v>65</v>
      </c>
      <c r="H697" t="s">
        <v>29</v>
      </c>
      <c r="I697" t="s">
        <v>13</v>
      </c>
      <c r="J697" t="s">
        <v>25</v>
      </c>
      <c r="K697">
        <v>153.63999999999999</v>
      </c>
      <c r="L697" t="s">
        <v>16</v>
      </c>
      <c r="M697" t="s">
        <v>16</v>
      </c>
      <c r="N697" t="s">
        <v>925</v>
      </c>
      <c r="O697">
        <f>_xlfn.XLOOKUP(customer_satisfaction_cleaned[[#This Row],[Product Category]],Table2[Product Category],Table2[Delivery SLA (Days)],"NA",0)</f>
        <v>7</v>
      </c>
      <c r="P6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8" spans="1:16" x14ac:dyDescent="0.2">
      <c r="A698" t="s">
        <v>693</v>
      </c>
      <c r="B698" t="s">
        <v>23</v>
      </c>
      <c r="C698">
        <v>5</v>
      </c>
      <c r="D698">
        <v>6</v>
      </c>
      <c r="E698" t="s">
        <v>21</v>
      </c>
      <c r="F698">
        <v>39.770000000000003</v>
      </c>
      <c r="G698">
        <v>59</v>
      </c>
      <c r="H698" t="s">
        <v>24</v>
      </c>
      <c r="I698" t="s">
        <v>21</v>
      </c>
      <c r="J698" t="s">
        <v>25</v>
      </c>
      <c r="K698">
        <v>39.770000000000003</v>
      </c>
      <c r="L698" t="s">
        <v>16</v>
      </c>
      <c r="M698" t="s">
        <v>16</v>
      </c>
      <c r="N698" t="s">
        <v>923</v>
      </c>
      <c r="O698">
        <f>_xlfn.XLOOKUP(customer_satisfaction_cleaned[[#This Row],[Product Category]],Table2[Product Category],Table2[Delivery SLA (Days)],"NA",0)</f>
        <v>7</v>
      </c>
      <c r="P6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9" spans="1:16" x14ac:dyDescent="0.2">
      <c r="A699" t="s">
        <v>694</v>
      </c>
      <c r="B699" t="s">
        <v>18</v>
      </c>
      <c r="C699">
        <v>7</v>
      </c>
      <c r="D699">
        <v>5</v>
      </c>
      <c r="E699" t="s">
        <v>29</v>
      </c>
      <c r="F699">
        <v>86.09</v>
      </c>
      <c r="G699">
        <v>22</v>
      </c>
      <c r="H699" t="s">
        <v>44</v>
      </c>
      <c r="I699" t="s">
        <v>25</v>
      </c>
      <c r="J699" t="s">
        <v>20</v>
      </c>
      <c r="K699">
        <v>86.09</v>
      </c>
      <c r="L699" t="s">
        <v>16</v>
      </c>
      <c r="M699" t="s">
        <v>16</v>
      </c>
      <c r="N699" t="s">
        <v>924</v>
      </c>
      <c r="O699">
        <f>_xlfn.XLOOKUP(customer_satisfaction_cleaned[[#This Row],[Product Category]],Table2[Product Category],Table2[Delivery SLA (Days)],"NA",0)</f>
        <v>10</v>
      </c>
      <c r="P6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0" spans="1:16" x14ac:dyDescent="0.2">
      <c r="A700" t="s">
        <v>695</v>
      </c>
      <c r="B700" t="s">
        <v>18</v>
      </c>
      <c r="C700">
        <v>8</v>
      </c>
      <c r="D700">
        <v>4</v>
      </c>
      <c r="E700" t="s">
        <v>29</v>
      </c>
      <c r="F700">
        <v>58.58</v>
      </c>
      <c r="G700">
        <v>16</v>
      </c>
      <c r="H700" t="s">
        <v>20</v>
      </c>
      <c r="I700" t="s">
        <v>25</v>
      </c>
      <c r="J700" t="s">
        <v>20</v>
      </c>
      <c r="K700">
        <v>58.58</v>
      </c>
      <c r="L700" t="s">
        <v>16</v>
      </c>
      <c r="M700" t="s">
        <v>16</v>
      </c>
      <c r="N700" t="s">
        <v>924</v>
      </c>
      <c r="O700">
        <f>_xlfn.XLOOKUP(customer_satisfaction_cleaned[[#This Row],[Product Category]],Table2[Product Category],Table2[Delivery SLA (Days)],"NA",0)</f>
        <v>10</v>
      </c>
      <c r="P7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1" spans="1:16" x14ac:dyDescent="0.2">
      <c r="A701" t="s">
        <v>696</v>
      </c>
      <c r="B701" t="s">
        <v>36</v>
      </c>
      <c r="C701">
        <v>9</v>
      </c>
      <c r="D701">
        <v>5</v>
      </c>
      <c r="E701" t="s">
        <v>13</v>
      </c>
      <c r="F701">
        <v>173.22</v>
      </c>
      <c r="G701">
        <v>39</v>
      </c>
      <c r="H701" t="s">
        <v>24</v>
      </c>
      <c r="I701" t="s">
        <v>13</v>
      </c>
      <c r="J701" t="s">
        <v>25</v>
      </c>
      <c r="K701">
        <v>173.22</v>
      </c>
      <c r="L701" t="s">
        <v>16</v>
      </c>
      <c r="M701" t="s">
        <v>16</v>
      </c>
      <c r="N701" t="s">
        <v>923</v>
      </c>
      <c r="O701" t="str">
        <f>_xlfn.XLOOKUP(customer_satisfaction_cleaned[[#This Row],[Product Category]],Table2[Product Category],Table2[Delivery SLA (Days)],"NA",0)</f>
        <v>NA</v>
      </c>
      <c r="P7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02" spans="1:16" x14ac:dyDescent="0.2">
      <c r="A702" t="s">
        <v>697</v>
      </c>
      <c r="B702" t="s">
        <v>23</v>
      </c>
      <c r="C702">
        <v>7</v>
      </c>
      <c r="D702">
        <v>4</v>
      </c>
      <c r="E702" t="s">
        <v>34</v>
      </c>
      <c r="F702">
        <v>106.58</v>
      </c>
      <c r="G702">
        <v>30</v>
      </c>
      <c r="H702" t="s">
        <v>44</v>
      </c>
      <c r="I702" t="s">
        <v>25</v>
      </c>
      <c r="J702" t="s">
        <v>20</v>
      </c>
      <c r="K702">
        <v>106.58</v>
      </c>
      <c r="L702" t="s">
        <v>16</v>
      </c>
      <c r="M702" t="s">
        <v>16</v>
      </c>
      <c r="N702" t="s">
        <v>923</v>
      </c>
      <c r="O702">
        <f>_xlfn.XLOOKUP(customer_satisfaction_cleaned[[#This Row],[Product Category]],Table2[Product Category],Table2[Delivery SLA (Days)],"NA",0)</f>
        <v>7</v>
      </c>
      <c r="P7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3" spans="1:16" x14ac:dyDescent="0.2">
      <c r="A703" t="s">
        <v>698</v>
      </c>
      <c r="B703" t="s">
        <v>23</v>
      </c>
      <c r="C703">
        <v>6</v>
      </c>
      <c r="D703">
        <v>2</v>
      </c>
      <c r="E703" t="s">
        <v>19</v>
      </c>
      <c r="F703">
        <v>86.49</v>
      </c>
      <c r="G703">
        <v>40</v>
      </c>
      <c r="H703" t="s">
        <v>44</v>
      </c>
      <c r="I703" t="s">
        <v>21</v>
      </c>
      <c r="J703" t="s">
        <v>20</v>
      </c>
      <c r="K703">
        <v>86.49</v>
      </c>
      <c r="L703" t="s">
        <v>16</v>
      </c>
      <c r="M703" t="s">
        <v>16</v>
      </c>
      <c r="N703" t="s">
        <v>923</v>
      </c>
      <c r="O703">
        <f>_xlfn.XLOOKUP(customer_satisfaction_cleaned[[#This Row],[Product Category]],Table2[Product Category],Table2[Delivery SLA (Days)],"NA",0)</f>
        <v>7</v>
      </c>
      <c r="P7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4" spans="1:16" x14ac:dyDescent="0.2">
      <c r="A704" t="s">
        <v>699</v>
      </c>
      <c r="B704" t="s">
        <v>23</v>
      </c>
      <c r="C704">
        <v>9</v>
      </c>
      <c r="D704">
        <v>5</v>
      </c>
      <c r="E704" t="s">
        <v>13</v>
      </c>
      <c r="F704">
        <v>22.2</v>
      </c>
      <c r="G704">
        <v>35</v>
      </c>
      <c r="H704" t="s">
        <v>29</v>
      </c>
      <c r="I704" t="s">
        <v>13</v>
      </c>
      <c r="J704" t="s">
        <v>25</v>
      </c>
      <c r="K704">
        <v>22.2</v>
      </c>
      <c r="L704" t="s">
        <v>16</v>
      </c>
      <c r="M704" t="s">
        <v>16</v>
      </c>
      <c r="N704" t="s">
        <v>923</v>
      </c>
      <c r="O704">
        <f>_xlfn.XLOOKUP(customer_satisfaction_cleaned[[#This Row],[Product Category]],Table2[Product Category],Table2[Delivery SLA (Days)],"NA",0)</f>
        <v>7</v>
      </c>
      <c r="P7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5" spans="1:16" x14ac:dyDescent="0.2">
      <c r="A705" t="s">
        <v>700</v>
      </c>
      <c r="B705" t="s">
        <v>47</v>
      </c>
      <c r="C705">
        <v>7</v>
      </c>
      <c r="E705" t="s">
        <v>21</v>
      </c>
      <c r="F705">
        <v>132.47</v>
      </c>
      <c r="G705">
        <v>32</v>
      </c>
      <c r="H705" t="s">
        <v>44</v>
      </c>
      <c r="I705" t="s">
        <v>21</v>
      </c>
      <c r="J705" t="s">
        <v>20</v>
      </c>
      <c r="K705">
        <v>132.47</v>
      </c>
      <c r="L705" t="s">
        <v>16</v>
      </c>
      <c r="M705" t="s">
        <v>937</v>
      </c>
      <c r="N705" t="s">
        <v>923</v>
      </c>
      <c r="O705">
        <f>_xlfn.XLOOKUP(customer_satisfaction_cleaned[[#This Row],[Product Category]],Table2[Product Category],Table2[Delivery SLA (Days)],"NA",0)</f>
        <v>7</v>
      </c>
      <c r="P7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06" spans="1:16" x14ac:dyDescent="0.2">
      <c r="A706" t="s">
        <v>701</v>
      </c>
      <c r="B706" t="s">
        <v>36</v>
      </c>
      <c r="C706">
        <v>6</v>
      </c>
      <c r="D706">
        <v>5</v>
      </c>
      <c r="E706" t="s">
        <v>19</v>
      </c>
      <c r="F706">
        <v>140.05000000000001</v>
      </c>
      <c r="G706">
        <v>41</v>
      </c>
      <c r="H706" t="s">
        <v>29</v>
      </c>
      <c r="I706" t="s">
        <v>21</v>
      </c>
      <c r="J706" t="s">
        <v>25</v>
      </c>
      <c r="K706">
        <v>140.05000000000001</v>
      </c>
      <c r="L706" t="s">
        <v>16</v>
      </c>
      <c r="M706" t="s">
        <v>16</v>
      </c>
      <c r="N706" t="s">
        <v>923</v>
      </c>
      <c r="O706" t="str">
        <f>_xlfn.XLOOKUP(customer_satisfaction_cleaned[[#This Row],[Product Category]],Table2[Product Category],Table2[Delivery SLA (Days)],"NA",0)</f>
        <v>NA</v>
      </c>
      <c r="P7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07" spans="1:16" x14ac:dyDescent="0.2">
      <c r="A707" t="s">
        <v>702</v>
      </c>
      <c r="B707" t="s">
        <v>47</v>
      </c>
      <c r="C707">
        <v>8</v>
      </c>
      <c r="D707">
        <v>5</v>
      </c>
      <c r="E707" t="s">
        <v>21</v>
      </c>
      <c r="F707">
        <v>132.63</v>
      </c>
      <c r="G707">
        <v>29</v>
      </c>
      <c r="H707" t="s">
        <v>44</v>
      </c>
      <c r="I707" t="s">
        <v>21</v>
      </c>
      <c r="J707" t="s">
        <v>20</v>
      </c>
      <c r="K707">
        <v>132.63</v>
      </c>
      <c r="L707" t="s">
        <v>16</v>
      </c>
      <c r="M707" t="s">
        <v>16</v>
      </c>
      <c r="N707" t="s">
        <v>924</v>
      </c>
      <c r="O707">
        <f>_xlfn.XLOOKUP(customer_satisfaction_cleaned[[#This Row],[Product Category]],Table2[Product Category],Table2[Delivery SLA (Days)],"NA",0)</f>
        <v>7</v>
      </c>
      <c r="P7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8" spans="1:16" x14ac:dyDescent="0.2">
      <c r="A708" t="s">
        <v>703</v>
      </c>
      <c r="B708" t="s">
        <v>12</v>
      </c>
      <c r="C708">
        <v>6</v>
      </c>
      <c r="D708">
        <v>5</v>
      </c>
      <c r="E708" t="s">
        <v>21</v>
      </c>
      <c r="F708">
        <v>172.29</v>
      </c>
      <c r="G708">
        <v>22</v>
      </c>
      <c r="H708" t="s">
        <v>42</v>
      </c>
      <c r="I708" t="s">
        <v>21</v>
      </c>
      <c r="J708" t="s">
        <v>25</v>
      </c>
      <c r="K708">
        <v>172.29</v>
      </c>
      <c r="L708" t="s">
        <v>16</v>
      </c>
      <c r="M708" t="s">
        <v>16</v>
      </c>
      <c r="N708" t="s">
        <v>924</v>
      </c>
      <c r="O708">
        <f>_xlfn.XLOOKUP(customer_satisfaction_cleaned[[#This Row],[Product Category]],Table2[Product Category],Table2[Delivery SLA (Days)],"NA",0)</f>
        <v>5</v>
      </c>
      <c r="P7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9" spans="1:16" x14ac:dyDescent="0.2">
      <c r="A709" t="s">
        <v>704</v>
      </c>
      <c r="B709" t="s">
        <v>18</v>
      </c>
      <c r="C709">
        <v>7</v>
      </c>
      <c r="D709">
        <v>9</v>
      </c>
      <c r="E709" t="s">
        <v>19</v>
      </c>
      <c r="F709">
        <v>172.16</v>
      </c>
      <c r="G709">
        <v>29</v>
      </c>
      <c r="H709" t="s">
        <v>44</v>
      </c>
      <c r="I709" t="s">
        <v>21</v>
      </c>
      <c r="J709" t="s">
        <v>20</v>
      </c>
      <c r="K709">
        <v>172.16</v>
      </c>
      <c r="L709" t="s">
        <v>16</v>
      </c>
      <c r="M709" t="s">
        <v>16</v>
      </c>
      <c r="N709" t="s">
        <v>924</v>
      </c>
      <c r="O709">
        <f>_xlfn.XLOOKUP(customer_satisfaction_cleaned[[#This Row],[Product Category]],Table2[Product Category],Table2[Delivery SLA (Days)],"NA",0)</f>
        <v>10</v>
      </c>
      <c r="P7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0" spans="1:16" x14ac:dyDescent="0.2">
      <c r="A710" t="s">
        <v>705</v>
      </c>
      <c r="B710" t="s">
        <v>23</v>
      </c>
      <c r="C710">
        <v>6</v>
      </c>
      <c r="D710">
        <v>6</v>
      </c>
      <c r="E710" t="s">
        <v>34</v>
      </c>
      <c r="F710">
        <v>74.38</v>
      </c>
      <c r="G710">
        <v>34</v>
      </c>
      <c r="H710" t="s">
        <v>14</v>
      </c>
      <c r="I710" t="s">
        <v>25</v>
      </c>
      <c r="J710" t="s">
        <v>15</v>
      </c>
      <c r="K710">
        <v>74.38</v>
      </c>
      <c r="L710" t="s">
        <v>16</v>
      </c>
      <c r="M710" t="s">
        <v>16</v>
      </c>
      <c r="N710" t="s">
        <v>923</v>
      </c>
      <c r="O710">
        <f>_xlfn.XLOOKUP(customer_satisfaction_cleaned[[#This Row],[Product Category]],Table2[Product Category],Table2[Delivery SLA (Days)],"NA",0)</f>
        <v>7</v>
      </c>
      <c r="P7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1" spans="1:16" x14ac:dyDescent="0.2">
      <c r="A711" t="s">
        <v>706</v>
      </c>
      <c r="B711" t="s">
        <v>18</v>
      </c>
      <c r="D711">
        <v>3</v>
      </c>
      <c r="E711" t="s">
        <v>13</v>
      </c>
      <c r="F711">
        <v>60.39</v>
      </c>
      <c r="G711">
        <v>37</v>
      </c>
      <c r="H711" t="s">
        <v>20</v>
      </c>
      <c r="I711" t="s">
        <v>13</v>
      </c>
      <c r="J711" t="s">
        <v>20</v>
      </c>
      <c r="K711">
        <v>60.39</v>
      </c>
      <c r="L711" t="s">
        <v>936</v>
      </c>
      <c r="M711" t="s">
        <v>16</v>
      </c>
      <c r="N711" t="s">
        <v>923</v>
      </c>
      <c r="O711">
        <f>_xlfn.XLOOKUP(customer_satisfaction_cleaned[[#This Row],[Product Category]],Table2[Product Category],Table2[Delivery SLA (Days)],"NA",0)</f>
        <v>10</v>
      </c>
      <c r="P7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2" spans="1:16" x14ac:dyDescent="0.2">
      <c r="A712" t="s">
        <v>707</v>
      </c>
      <c r="B712" t="s">
        <v>18</v>
      </c>
      <c r="D712">
        <v>5</v>
      </c>
      <c r="E712" t="s">
        <v>13</v>
      </c>
      <c r="F712">
        <v>77.3</v>
      </c>
      <c r="G712">
        <v>34</v>
      </c>
      <c r="H712" t="s">
        <v>24</v>
      </c>
      <c r="I712" t="s">
        <v>13</v>
      </c>
      <c r="J712" t="s">
        <v>25</v>
      </c>
      <c r="K712">
        <v>77.3</v>
      </c>
      <c r="L712" t="s">
        <v>936</v>
      </c>
      <c r="M712" t="s">
        <v>16</v>
      </c>
      <c r="N712" t="s">
        <v>923</v>
      </c>
      <c r="O712">
        <f>_xlfn.XLOOKUP(customer_satisfaction_cleaned[[#This Row],[Product Category]],Table2[Product Category],Table2[Delivery SLA (Days)],"NA",0)</f>
        <v>10</v>
      </c>
      <c r="P7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3" spans="1:16" x14ac:dyDescent="0.2">
      <c r="A713" t="s">
        <v>17</v>
      </c>
      <c r="B713" t="s">
        <v>23</v>
      </c>
      <c r="D713">
        <v>8</v>
      </c>
      <c r="E713" t="s">
        <v>29</v>
      </c>
      <c r="F713">
        <v>116.27</v>
      </c>
      <c r="G713">
        <v>69</v>
      </c>
      <c r="H713" t="s">
        <v>29</v>
      </c>
      <c r="I713" t="s">
        <v>25</v>
      </c>
      <c r="J713" t="s">
        <v>25</v>
      </c>
      <c r="K713">
        <v>116.27</v>
      </c>
      <c r="L713" t="s">
        <v>936</v>
      </c>
      <c r="M713" t="s">
        <v>16</v>
      </c>
      <c r="N713" t="s">
        <v>925</v>
      </c>
      <c r="O713">
        <f>_xlfn.XLOOKUP(customer_satisfaction_cleaned[[#This Row],[Product Category]],Table2[Product Category],Table2[Delivery SLA (Days)],"NA",0)</f>
        <v>7</v>
      </c>
      <c r="P7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14" spans="1:16" x14ac:dyDescent="0.2">
      <c r="A714" t="s">
        <v>708</v>
      </c>
      <c r="B714" t="s">
        <v>23</v>
      </c>
      <c r="C714">
        <v>5</v>
      </c>
      <c r="D714">
        <v>8</v>
      </c>
      <c r="E714" t="s">
        <v>13</v>
      </c>
      <c r="F714">
        <v>113.7</v>
      </c>
      <c r="G714">
        <v>26</v>
      </c>
      <c r="H714" t="s">
        <v>24</v>
      </c>
      <c r="I714" t="s">
        <v>13</v>
      </c>
      <c r="J714" t="s">
        <v>25</v>
      </c>
      <c r="K714">
        <v>113.7</v>
      </c>
      <c r="L714" t="s">
        <v>16</v>
      </c>
      <c r="M714" t="s">
        <v>16</v>
      </c>
      <c r="N714" t="s">
        <v>924</v>
      </c>
      <c r="O714">
        <f>_xlfn.XLOOKUP(customer_satisfaction_cleaned[[#This Row],[Product Category]],Table2[Product Category],Table2[Delivery SLA (Days)],"NA",0)</f>
        <v>7</v>
      </c>
      <c r="P7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15" spans="1:16" x14ac:dyDescent="0.2">
      <c r="A715" t="s">
        <v>709</v>
      </c>
      <c r="B715" t="s">
        <v>23</v>
      </c>
      <c r="C715">
        <v>11</v>
      </c>
      <c r="D715">
        <v>7</v>
      </c>
      <c r="E715" t="s">
        <v>13</v>
      </c>
      <c r="F715">
        <v>139.66</v>
      </c>
      <c r="G715">
        <v>27</v>
      </c>
      <c r="H715" t="s">
        <v>29</v>
      </c>
      <c r="I715" t="s">
        <v>13</v>
      </c>
      <c r="J715" t="s">
        <v>25</v>
      </c>
      <c r="K715">
        <v>139.66</v>
      </c>
      <c r="L715" t="s">
        <v>16</v>
      </c>
      <c r="M715" t="s">
        <v>16</v>
      </c>
      <c r="N715" t="s">
        <v>924</v>
      </c>
      <c r="O715">
        <f>_xlfn.XLOOKUP(customer_satisfaction_cleaned[[#This Row],[Product Category]],Table2[Product Category],Table2[Delivery SLA (Days)],"NA",0)</f>
        <v>7</v>
      </c>
      <c r="P7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6" spans="1:16" x14ac:dyDescent="0.2">
      <c r="A716" t="s">
        <v>710</v>
      </c>
      <c r="B716" t="s">
        <v>23</v>
      </c>
      <c r="C716">
        <v>4</v>
      </c>
      <c r="D716">
        <v>4</v>
      </c>
      <c r="E716" t="s">
        <v>21</v>
      </c>
      <c r="F716">
        <v>81.290000000000006</v>
      </c>
      <c r="G716">
        <v>6</v>
      </c>
      <c r="H716" t="s">
        <v>42</v>
      </c>
      <c r="I716" t="s">
        <v>21</v>
      </c>
      <c r="J716" t="s">
        <v>25</v>
      </c>
      <c r="K716">
        <v>81.290000000000006</v>
      </c>
      <c r="L716" t="s">
        <v>16</v>
      </c>
      <c r="M716" t="s">
        <v>16</v>
      </c>
      <c r="N716" t="s">
        <v>926</v>
      </c>
      <c r="O716">
        <f>_xlfn.XLOOKUP(customer_satisfaction_cleaned[[#This Row],[Product Category]],Table2[Product Category],Table2[Delivery SLA (Days)],"NA",0)</f>
        <v>7</v>
      </c>
      <c r="P7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7" spans="1:16" x14ac:dyDescent="0.2">
      <c r="A717" t="s">
        <v>711</v>
      </c>
      <c r="B717" t="s">
        <v>47</v>
      </c>
      <c r="C717">
        <v>7</v>
      </c>
      <c r="D717">
        <v>2</v>
      </c>
      <c r="E717" t="s">
        <v>21</v>
      </c>
      <c r="F717">
        <v>158.22999999999999</v>
      </c>
      <c r="G717">
        <v>15</v>
      </c>
      <c r="H717" t="s">
        <v>44</v>
      </c>
      <c r="I717" t="s">
        <v>21</v>
      </c>
      <c r="J717" t="s">
        <v>20</v>
      </c>
      <c r="K717">
        <v>158.22999999999999</v>
      </c>
      <c r="L717" t="s">
        <v>16</v>
      </c>
      <c r="M717" t="s">
        <v>16</v>
      </c>
      <c r="N717" t="s">
        <v>924</v>
      </c>
      <c r="O717">
        <f>_xlfn.XLOOKUP(customer_satisfaction_cleaned[[#This Row],[Product Category]],Table2[Product Category],Table2[Delivery SLA (Days)],"NA",0)</f>
        <v>7</v>
      </c>
      <c r="P7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8" spans="1:16" x14ac:dyDescent="0.2">
      <c r="A718" t="s">
        <v>712</v>
      </c>
      <c r="B718" t="s">
        <v>23</v>
      </c>
      <c r="C718">
        <v>11</v>
      </c>
      <c r="D718">
        <v>6</v>
      </c>
      <c r="E718" t="s">
        <v>21</v>
      </c>
      <c r="F718">
        <v>104.17</v>
      </c>
      <c r="G718">
        <v>25</v>
      </c>
      <c r="H718" t="s">
        <v>42</v>
      </c>
      <c r="I718" t="s">
        <v>21</v>
      </c>
      <c r="J718" t="s">
        <v>25</v>
      </c>
      <c r="K718">
        <v>104.17</v>
      </c>
      <c r="L718" t="s">
        <v>16</v>
      </c>
      <c r="M718" t="s">
        <v>16</v>
      </c>
      <c r="N718" t="s">
        <v>924</v>
      </c>
      <c r="O718">
        <f>_xlfn.XLOOKUP(customer_satisfaction_cleaned[[#This Row],[Product Category]],Table2[Product Category],Table2[Delivery SLA (Days)],"NA",0)</f>
        <v>7</v>
      </c>
      <c r="P7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9" spans="1:16" x14ac:dyDescent="0.2">
      <c r="A719" t="s">
        <v>713</v>
      </c>
      <c r="B719" t="s">
        <v>47</v>
      </c>
      <c r="C719">
        <v>7</v>
      </c>
      <c r="D719">
        <v>4</v>
      </c>
      <c r="E719" t="s">
        <v>13</v>
      </c>
      <c r="F719">
        <v>58.19</v>
      </c>
      <c r="G719">
        <v>41</v>
      </c>
      <c r="H719" t="s">
        <v>42</v>
      </c>
      <c r="I719" t="s">
        <v>13</v>
      </c>
      <c r="J719" t="s">
        <v>25</v>
      </c>
      <c r="K719">
        <v>58.19</v>
      </c>
      <c r="L719" t="s">
        <v>16</v>
      </c>
      <c r="M719" t="s">
        <v>16</v>
      </c>
      <c r="N719" t="s">
        <v>923</v>
      </c>
      <c r="O719">
        <f>_xlfn.XLOOKUP(customer_satisfaction_cleaned[[#This Row],[Product Category]],Table2[Product Category],Table2[Delivery SLA (Days)],"NA",0)</f>
        <v>7</v>
      </c>
      <c r="P7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0" spans="1:16" x14ac:dyDescent="0.2">
      <c r="A720" t="s">
        <v>714</v>
      </c>
      <c r="B720" t="s">
        <v>18</v>
      </c>
      <c r="C720">
        <v>9</v>
      </c>
      <c r="D720">
        <v>8</v>
      </c>
      <c r="E720" t="s">
        <v>29</v>
      </c>
      <c r="F720">
        <v>101.06</v>
      </c>
      <c r="G720">
        <v>39</v>
      </c>
      <c r="H720" t="s">
        <v>44</v>
      </c>
      <c r="I720" t="s">
        <v>25</v>
      </c>
      <c r="J720" t="s">
        <v>20</v>
      </c>
      <c r="K720">
        <v>101.06</v>
      </c>
      <c r="L720" t="s">
        <v>16</v>
      </c>
      <c r="M720" t="s">
        <v>16</v>
      </c>
      <c r="N720" t="s">
        <v>923</v>
      </c>
      <c r="O720">
        <f>_xlfn.XLOOKUP(customer_satisfaction_cleaned[[#This Row],[Product Category]],Table2[Product Category],Table2[Delivery SLA (Days)],"NA",0)</f>
        <v>10</v>
      </c>
      <c r="P7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1" spans="1:16" x14ac:dyDescent="0.2">
      <c r="A721" t="s">
        <v>715</v>
      </c>
      <c r="B721" t="s">
        <v>18</v>
      </c>
      <c r="C721">
        <v>6</v>
      </c>
      <c r="D721">
        <v>4</v>
      </c>
      <c r="E721" t="s">
        <v>13</v>
      </c>
      <c r="F721">
        <v>129.82</v>
      </c>
      <c r="G721">
        <v>42</v>
      </c>
      <c r="H721" t="s">
        <v>44</v>
      </c>
      <c r="I721" t="s">
        <v>13</v>
      </c>
      <c r="J721" t="s">
        <v>20</v>
      </c>
      <c r="K721">
        <v>129.82</v>
      </c>
      <c r="L721" t="s">
        <v>16</v>
      </c>
      <c r="M721" t="s">
        <v>16</v>
      </c>
      <c r="N721" t="s">
        <v>923</v>
      </c>
      <c r="O721">
        <f>_xlfn.XLOOKUP(customer_satisfaction_cleaned[[#This Row],[Product Category]],Table2[Product Category],Table2[Delivery SLA (Days)],"NA",0)</f>
        <v>10</v>
      </c>
      <c r="P7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2" spans="1:16" x14ac:dyDescent="0.2">
      <c r="A722" t="s">
        <v>716</v>
      </c>
      <c r="B722" t="s">
        <v>47</v>
      </c>
      <c r="C722">
        <v>7</v>
      </c>
      <c r="D722">
        <v>5</v>
      </c>
      <c r="E722" t="s">
        <v>13</v>
      </c>
      <c r="F722">
        <v>89.85</v>
      </c>
      <c r="G722">
        <v>24</v>
      </c>
      <c r="H722" t="s">
        <v>24</v>
      </c>
      <c r="I722" t="s">
        <v>13</v>
      </c>
      <c r="J722" t="s">
        <v>25</v>
      </c>
      <c r="K722">
        <v>89.85</v>
      </c>
      <c r="L722" t="s">
        <v>16</v>
      </c>
      <c r="M722" t="s">
        <v>16</v>
      </c>
      <c r="N722" t="s">
        <v>924</v>
      </c>
      <c r="O722">
        <f>_xlfn.XLOOKUP(customer_satisfaction_cleaned[[#This Row],[Product Category]],Table2[Product Category],Table2[Delivery SLA (Days)],"NA",0)</f>
        <v>7</v>
      </c>
      <c r="P7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3" spans="1:16" x14ac:dyDescent="0.2">
      <c r="A723" t="s">
        <v>717</v>
      </c>
      <c r="B723" t="s">
        <v>12</v>
      </c>
      <c r="C723">
        <v>10</v>
      </c>
      <c r="D723">
        <v>5</v>
      </c>
      <c r="E723" t="s">
        <v>13</v>
      </c>
      <c r="F723">
        <v>47.18</v>
      </c>
      <c r="G723">
        <v>0</v>
      </c>
      <c r="H723" t="s">
        <v>42</v>
      </c>
      <c r="I723" t="s">
        <v>13</v>
      </c>
      <c r="J723" t="s">
        <v>25</v>
      </c>
      <c r="K723">
        <v>47.18</v>
      </c>
      <c r="L723" t="s">
        <v>16</v>
      </c>
      <c r="M723" t="s">
        <v>16</v>
      </c>
      <c r="N723" t="s">
        <v>926</v>
      </c>
      <c r="O723">
        <f>_xlfn.XLOOKUP(customer_satisfaction_cleaned[[#This Row],[Product Category]],Table2[Product Category],Table2[Delivery SLA (Days)],"NA",0)</f>
        <v>5</v>
      </c>
      <c r="P7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4" spans="1:16" x14ac:dyDescent="0.2">
      <c r="A724" t="s">
        <v>718</v>
      </c>
      <c r="B724" t="s">
        <v>47</v>
      </c>
      <c r="C724">
        <v>7</v>
      </c>
      <c r="D724">
        <v>9</v>
      </c>
      <c r="E724" t="s">
        <v>21</v>
      </c>
      <c r="F724">
        <v>108.63</v>
      </c>
      <c r="G724">
        <v>22</v>
      </c>
      <c r="H724" t="s">
        <v>15</v>
      </c>
      <c r="I724" t="s">
        <v>21</v>
      </c>
      <c r="J724" t="s">
        <v>15</v>
      </c>
      <c r="K724">
        <v>108.63</v>
      </c>
      <c r="L724" t="s">
        <v>16</v>
      </c>
      <c r="M724" t="s">
        <v>16</v>
      </c>
      <c r="N724" t="s">
        <v>924</v>
      </c>
      <c r="O724">
        <f>_xlfn.XLOOKUP(customer_satisfaction_cleaned[[#This Row],[Product Category]],Table2[Product Category],Table2[Delivery SLA (Days)],"NA",0)</f>
        <v>7</v>
      </c>
      <c r="P7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25" spans="1:16" x14ac:dyDescent="0.2">
      <c r="A725" t="s">
        <v>719</v>
      </c>
      <c r="B725" t="s">
        <v>12</v>
      </c>
      <c r="C725">
        <v>7</v>
      </c>
      <c r="D725">
        <v>4</v>
      </c>
      <c r="E725" t="s">
        <v>32</v>
      </c>
      <c r="F725">
        <v>100.01</v>
      </c>
      <c r="G725">
        <v>56</v>
      </c>
      <c r="H725" t="s">
        <v>42</v>
      </c>
      <c r="I725" t="s">
        <v>13</v>
      </c>
      <c r="J725" t="s">
        <v>25</v>
      </c>
      <c r="K725">
        <v>100.01</v>
      </c>
      <c r="L725" t="s">
        <v>16</v>
      </c>
      <c r="M725" t="s">
        <v>16</v>
      </c>
      <c r="N725" t="s">
        <v>923</v>
      </c>
      <c r="O725">
        <f>_xlfn.XLOOKUP(customer_satisfaction_cleaned[[#This Row],[Product Category]],Table2[Product Category],Table2[Delivery SLA (Days)],"NA",0)</f>
        <v>5</v>
      </c>
      <c r="P7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6" spans="1:16" x14ac:dyDescent="0.2">
      <c r="A726" t="s">
        <v>720</v>
      </c>
      <c r="B726" t="s">
        <v>23</v>
      </c>
      <c r="C726">
        <v>6</v>
      </c>
      <c r="D726">
        <v>8</v>
      </c>
      <c r="E726" t="s">
        <v>32</v>
      </c>
      <c r="F726">
        <v>116.94</v>
      </c>
      <c r="H726" t="s">
        <v>15</v>
      </c>
      <c r="I726" t="s">
        <v>13</v>
      </c>
      <c r="J726" t="s">
        <v>15</v>
      </c>
      <c r="K726">
        <v>116.94</v>
      </c>
      <c r="L726" t="s">
        <v>16</v>
      </c>
      <c r="M726" t="s">
        <v>16</v>
      </c>
      <c r="N726" t="s">
        <v>922</v>
      </c>
      <c r="O726">
        <f>_xlfn.XLOOKUP(customer_satisfaction_cleaned[[#This Row],[Product Category]],Table2[Product Category],Table2[Delivery SLA (Days)],"NA",0)</f>
        <v>7</v>
      </c>
      <c r="P7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27" spans="1:16" x14ac:dyDescent="0.2">
      <c r="A727" t="s">
        <v>721</v>
      </c>
      <c r="B727" t="s">
        <v>18</v>
      </c>
      <c r="C727">
        <v>11</v>
      </c>
      <c r="D727">
        <v>6</v>
      </c>
      <c r="E727" t="s">
        <v>21</v>
      </c>
      <c r="F727">
        <v>115.86</v>
      </c>
      <c r="G727">
        <v>34</v>
      </c>
      <c r="H727" t="s">
        <v>20</v>
      </c>
      <c r="I727" t="s">
        <v>21</v>
      </c>
      <c r="J727" t="s">
        <v>20</v>
      </c>
      <c r="K727">
        <v>115.86</v>
      </c>
      <c r="L727" t="s">
        <v>16</v>
      </c>
      <c r="M727" t="s">
        <v>16</v>
      </c>
      <c r="N727" t="s">
        <v>923</v>
      </c>
      <c r="O727">
        <f>_xlfn.XLOOKUP(customer_satisfaction_cleaned[[#This Row],[Product Category]],Table2[Product Category],Table2[Delivery SLA (Days)],"NA",0)</f>
        <v>10</v>
      </c>
      <c r="P7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8" spans="1:16" x14ac:dyDescent="0.2">
      <c r="A728" t="s">
        <v>722</v>
      </c>
      <c r="B728" t="s">
        <v>18</v>
      </c>
      <c r="C728">
        <v>9</v>
      </c>
      <c r="D728">
        <v>5</v>
      </c>
      <c r="E728" t="s">
        <v>13</v>
      </c>
      <c r="F728">
        <v>101.1</v>
      </c>
      <c r="G728">
        <v>50</v>
      </c>
      <c r="H728" t="s">
        <v>42</v>
      </c>
      <c r="I728" t="s">
        <v>13</v>
      </c>
      <c r="J728" t="s">
        <v>25</v>
      </c>
      <c r="K728">
        <v>101.1</v>
      </c>
      <c r="L728" t="s">
        <v>16</v>
      </c>
      <c r="M728" t="s">
        <v>16</v>
      </c>
      <c r="N728" t="s">
        <v>923</v>
      </c>
      <c r="O728">
        <f>_xlfn.XLOOKUP(customer_satisfaction_cleaned[[#This Row],[Product Category]],Table2[Product Category],Table2[Delivery SLA (Days)],"NA",0)</f>
        <v>10</v>
      </c>
      <c r="P7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9" spans="1:16" x14ac:dyDescent="0.2">
      <c r="A729" t="s">
        <v>723</v>
      </c>
      <c r="B729" t="s">
        <v>47</v>
      </c>
      <c r="C729">
        <v>7</v>
      </c>
      <c r="D729">
        <v>5</v>
      </c>
      <c r="E729" t="s">
        <v>13</v>
      </c>
      <c r="F729">
        <v>154.16999999999999</v>
      </c>
      <c r="G729">
        <v>34</v>
      </c>
      <c r="H729" t="s">
        <v>20</v>
      </c>
      <c r="I729" t="s">
        <v>13</v>
      </c>
      <c r="J729" t="s">
        <v>20</v>
      </c>
      <c r="K729">
        <v>154.16999999999999</v>
      </c>
      <c r="L729" t="s">
        <v>16</v>
      </c>
      <c r="M729" t="s">
        <v>16</v>
      </c>
      <c r="N729" t="s">
        <v>923</v>
      </c>
      <c r="O729">
        <f>_xlfn.XLOOKUP(customer_satisfaction_cleaned[[#This Row],[Product Category]],Table2[Product Category],Table2[Delivery SLA (Days)],"NA",0)</f>
        <v>7</v>
      </c>
      <c r="P7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0" spans="1:16" x14ac:dyDescent="0.2">
      <c r="A730" t="s">
        <v>724</v>
      </c>
      <c r="B730" t="s">
        <v>47</v>
      </c>
      <c r="C730">
        <v>5</v>
      </c>
      <c r="D730">
        <v>4</v>
      </c>
      <c r="E730" t="s">
        <v>13</v>
      </c>
      <c r="F730">
        <v>89.38</v>
      </c>
      <c r="G730">
        <v>39</v>
      </c>
      <c r="H730" t="s">
        <v>24</v>
      </c>
      <c r="I730" t="s">
        <v>13</v>
      </c>
      <c r="J730" t="s">
        <v>25</v>
      </c>
      <c r="K730">
        <v>89.38</v>
      </c>
      <c r="L730" t="s">
        <v>16</v>
      </c>
      <c r="M730" t="s">
        <v>16</v>
      </c>
      <c r="N730" t="s">
        <v>923</v>
      </c>
      <c r="O730">
        <f>_xlfn.XLOOKUP(customer_satisfaction_cleaned[[#This Row],[Product Category]],Table2[Product Category],Table2[Delivery SLA (Days)],"NA",0)</f>
        <v>7</v>
      </c>
      <c r="P7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1" spans="1:16" x14ac:dyDescent="0.2">
      <c r="A731" t="s">
        <v>725</v>
      </c>
      <c r="B731" t="s">
        <v>47</v>
      </c>
      <c r="C731">
        <v>9</v>
      </c>
      <c r="E731" t="s">
        <v>13</v>
      </c>
      <c r="F731">
        <v>32.799999999999997</v>
      </c>
      <c r="G731">
        <v>38</v>
      </c>
      <c r="H731" t="s">
        <v>15</v>
      </c>
      <c r="I731" t="s">
        <v>13</v>
      </c>
      <c r="J731" t="s">
        <v>15</v>
      </c>
      <c r="K731">
        <v>32.799999999999997</v>
      </c>
      <c r="L731" t="s">
        <v>16</v>
      </c>
      <c r="M731" t="s">
        <v>937</v>
      </c>
      <c r="N731" t="s">
        <v>923</v>
      </c>
      <c r="O731">
        <f>_xlfn.XLOOKUP(customer_satisfaction_cleaned[[#This Row],[Product Category]],Table2[Product Category],Table2[Delivery SLA (Days)],"NA",0)</f>
        <v>7</v>
      </c>
      <c r="P7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32" spans="1:16" x14ac:dyDescent="0.2">
      <c r="A732" t="s">
        <v>726</v>
      </c>
      <c r="B732" t="s">
        <v>18</v>
      </c>
      <c r="C732">
        <v>6</v>
      </c>
      <c r="D732">
        <v>4</v>
      </c>
      <c r="E732" t="s">
        <v>29</v>
      </c>
      <c r="F732">
        <v>159.86000000000001</v>
      </c>
      <c r="G732">
        <v>35</v>
      </c>
      <c r="H732" t="s">
        <v>14</v>
      </c>
      <c r="I732" t="s">
        <v>25</v>
      </c>
      <c r="J732" t="s">
        <v>15</v>
      </c>
      <c r="K732">
        <v>159.86000000000001</v>
      </c>
      <c r="L732" t="s">
        <v>16</v>
      </c>
      <c r="M732" t="s">
        <v>16</v>
      </c>
      <c r="N732" t="s">
        <v>923</v>
      </c>
      <c r="O732">
        <f>_xlfn.XLOOKUP(customer_satisfaction_cleaned[[#This Row],[Product Category]],Table2[Product Category],Table2[Delivery SLA (Days)],"NA",0)</f>
        <v>10</v>
      </c>
      <c r="P7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3" spans="1:16" x14ac:dyDescent="0.2">
      <c r="A733" t="s">
        <v>17</v>
      </c>
      <c r="B733" t="s">
        <v>18</v>
      </c>
      <c r="C733">
        <v>7</v>
      </c>
      <c r="D733">
        <v>8</v>
      </c>
      <c r="E733" t="s">
        <v>21</v>
      </c>
      <c r="F733">
        <v>183.7</v>
      </c>
      <c r="G733">
        <v>22</v>
      </c>
      <c r="H733" t="s">
        <v>44</v>
      </c>
      <c r="I733" t="s">
        <v>21</v>
      </c>
      <c r="J733" t="s">
        <v>20</v>
      </c>
      <c r="K733">
        <v>183.7</v>
      </c>
      <c r="L733" t="s">
        <v>16</v>
      </c>
      <c r="M733" t="s">
        <v>16</v>
      </c>
      <c r="N733" t="s">
        <v>924</v>
      </c>
      <c r="O733">
        <f>_xlfn.XLOOKUP(customer_satisfaction_cleaned[[#This Row],[Product Category]],Table2[Product Category],Table2[Delivery SLA (Days)],"NA",0)</f>
        <v>10</v>
      </c>
      <c r="P7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4" spans="1:16" x14ac:dyDescent="0.2">
      <c r="A734" t="s">
        <v>727</v>
      </c>
      <c r="B734" t="s">
        <v>23</v>
      </c>
      <c r="C734">
        <v>4</v>
      </c>
      <c r="D734">
        <v>4</v>
      </c>
      <c r="E734" t="s">
        <v>21</v>
      </c>
      <c r="F734">
        <v>48.57</v>
      </c>
      <c r="G734">
        <v>32</v>
      </c>
      <c r="H734" t="s">
        <v>15</v>
      </c>
      <c r="I734" t="s">
        <v>21</v>
      </c>
      <c r="J734" t="s">
        <v>15</v>
      </c>
      <c r="K734">
        <v>48.57</v>
      </c>
      <c r="L734" t="s">
        <v>16</v>
      </c>
      <c r="M734" t="s">
        <v>16</v>
      </c>
      <c r="N734" t="s">
        <v>923</v>
      </c>
      <c r="O734">
        <f>_xlfn.XLOOKUP(customer_satisfaction_cleaned[[#This Row],[Product Category]],Table2[Product Category],Table2[Delivery SLA (Days)],"NA",0)</f>
        <v>7</v>
      </c>
      <c r="P7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5" spans="1:16" x14ac:dyDescent="0.2">
      <c r="A735" t="s">
        <v>728</v>
      </c>
      <c r="B735" t="s">
        <v>18</v>
      </c>
      <c r="C735">
        <v>4</v>
      </c>
      <c r="D735">
        <v>6</v>
      </c>
      <c r="E735" t="s">
        <v>13</v>
      </c>
      <c r="F735">
        <v>168.96</v>
      </c>
      <c r="G735">
        <v>2</v>
      </c>
      <c r="H735" t="s">
        <v>14</v>
      </c>
      <c r="I735" t="s">
        <v>13</v>
      </c>
      <c r="J735" t="s">
        <v>15</v>
      </c>
      <c r="K735">
        <v>168.96</v>
      </c>
      <c r="L735" t="s">
        <v>16</v>
      </c>
      <c r="M735" t="s">
        <v>16</v>
      </c>
      <c r="N735" t="s">
        <v>926</v>
      </c>
      <c r="O735">
        <f>_xlfn.XLOOKUP(customer_satisfaction_cleaned[[#This Row],[Product Category]],Table2[Product Category],Table2[Delivery SLA (Days)],"NA",0)</f>
        <v>10</v>
      </c>
      <c r="P7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6" spans="1:16" x14ac:dyDescent="0.2">
      <c r="A736" t="s">
        <v>729</v>
      </c>
      <c r="B736" t="s">
        <v>47</v>
      </c>
      <c r="C736">
        <v>7</v>
      </c>
      <c r="D736">
        <v>2</v>
      </c>
      <c r="E736" t="s">
        <v>29</v>
      </c>
      <c r="F736">
        <v>93.56</v>
      </c>
      <c r="G736">
        <v>68</v>
      </c>
      <c r="H736" t="s">
        <v>44</v>
      </c>
      <c r="I736" t="s">
        <v>25</v>
      </c>
      <c r="J736" t="s">
        <v>20</v>
      </c>
      <c r="K736">
        <v>93.56</v>
      </c>
      <c r="L736" t="s">
        <v>16</v>
      </c>
      <c r="M736" t="s">
        <v>16</v>
      </c>
      <c r="N736" t="s">
        <v>925</v>
      </c>
      <c r="O736">
        <f>_xlfn.XLOOKUP(customer_satisfaction_cleaned[[#This Row],[Product Category]],Table2[Product Category],Table2[Delivery SLA (Days)],"NA",0)</f>
        <v>7</v>
      </c>
      <c r="P7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7" spans="1:16" x14ac:dyDescent="0.2">
      <c r="A737" t="s">
        <v>730</v>
      </c>
      <c r="B737" t="s">
        <v>47</v>
      </c>
      <c r="C737">
        <v>7</v>
      </c>
      <c r="D737">
        <v>5</v>
      </c>
      <c r="E737" t="s">
        <v>34</v>
      </c>
      <c r="F737">
        <v>22.33</v>
      </c>
      <c r="G737">
        <v>37</v>
      </c>
      <c r="H737" t="s">
        <v>29</v>
      </c>
      <c r="I737" t="s">
        <v>25</v>
      </c>
      <c r="J737" t="s">
        <v>25</v>
      </c>
      <c r="K737">
        <v>22.33</v>
      </c>
      <c r="L737" t="s">
        <v>16</v>
      </c>
      <c r="M737" t="s">
        <v>16</v>
      </c>
      <c r="N737" t="s">
        <v>923</v>
      </c>
      <c r="O737">
        <f>_xlfn.XLOOKUP(customer_satisfaction_cleaned[[#This Row],[Product Category]],Table2[Product Category],Table2[Delivery SLA (Days)],"NA",0)</f>
        <v>7</v>
      </c>
      <c r="P7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8" spans="1:16" x14ac:dyDescent="0.2">
      <c r="A738" t="s">
        <v>731</v>
      </c>
      <c r="B738" t="s">
        <v>12</v>
      </c>
      <c r="C738">
        <v>9</v>
      </c>
      <c r="D738">
        <v>4</v>
      </c>
      <c r="E738" t="s">
        <v>21</v>
      </c>
      <c r="F738">
        <v>26.95</v>
      </c>
      <c r="G738">
        <v>35</v>
      </c>
      <c r="H738" t="s">
        <v>24</v>
      </c>
      <c r="I738" t="s">
        <v>21</v>
      </c>
      <c r="J738" t="s">
        <v>25</v>
      </c>
      <c r="K738">
        <v>26.95</v>
      </c>
      <c r="L738" t="s">
        <v>16</v>
      </c>
      <c r="M738" t="s">
        <v>16</v>
      </c>
      <c r="N738" t="s">
        <v>923</v>
      </c>
      <c r="O738">
        <f>_xlfn.XLOOKUP(customer_satisfaction_cleaned[[#This Row],[Product Category]],Table2[Product Category],Table2[Delivery SLA (Days)],"NA",0)</f>
        <v>5</v>
      </c>
      <c r="P7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9" spans="1:16" x14ac:dyDescent="0.2">
      <c r="A739" t="s">
        <v>732</v>
      </c>
      <c r="B739" t="s">
        <v>36</v>
      </c>
      <c r="D739">
        <v>5</v>
      </c>
      <c r="E739" t="s">
        <v>13</v>
      </c>
      <c r="F739">
        <v>162.06</v>
      </c>
      <c r="G739">
        <v>40</v>
      </c>
      <c r="H739" t="s">
        <v>34</v>
      </c>
      <c r="I739" t="s">
        <v>13</v>
      </c>
      <c r="J739" t="s">
        <v>25</v>
      </c>
      <c r="K739">
        <v>162.06</v>
      </c>
      <c r="L739" t="s">
        <v>936</v>
      </c>
      <c r="M739" t="s">
        <v>16</v>
      </c>
      <c r="N739" t="s">
        <v>923</v>
      </c>
      <c r="O739" t="str">
        <f>_xlfn.XLOOKUP(customer_satisfaction_cleaned[[#This Row],[Product Category]],Table2[Product Category],Table2[Delivery SLA (Days)],"NA",0)</f>
        <v>NA</v>
      </c>
      <c r="P7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40" spans="1:16" x14ac:dyDescent="0.2">
      <c r="A740" t="s">
        <v>733</v>
      </c>
      <c r="B740" t="s">
        <v>12</v>
      </c>
      <c r="C740">
        <v>10</v>
      </c>
      <c r="E740" t="s">
        <v>21</v>
      </c>
      <c r="F740">
        <v>132.87</v>
      </c>
      <c r="G740">
        <v>49</v>
      </c>
      <c r="H740" t="s">
        <v>29</v>
      </c>
      <c r="I740" t="s">
        <v>21</v>
      </c>
      <c r="J740" t="s">
        <v>25</v>
      </c>
      <c r="K740">
        <v>132.87</v>
      </c>
      <c r="L740" t="s">
        <v>16</v>
      </c>
      <c r="M740" t="s">
        <v>937</v>
      </c>
      <c r="N740" t="s">
        <v>923</v>
      </c>
      <c r="O740">
        <f>_xlfn.XLOOKUP(customer_satisfaction_cleaned[[#This Row],[Product Category]],Table2[Product Category],Table2[Delivery SLA (Days)],"NA",0)</f>
        <v>5</v>
      </c>
      <c r="P7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41" spans="1:16" x14ac:dyDescent="0.2">
      <c r="A741" t="s">
        <v>734</v>
      </c>
      <c r="B741" t="s">
        <v>18</v>
      </c>
      <c r="C741">
        <v>7</v>
      </c>
      <c r="D741">
        <v>7</v>
      </c>
      <c r="E741" t="s">
        <v>21</v>
      </c>
      <c r="F741">
        <v>57.91</v>
      </c>
      <c r="G741">
        <v>18</v>
      </c>
      <c r="H741" t="s">
        <v>15</v>
      </c>
      <c r="I741" t="s">
        <v>21</v>
      </c>
      <c r="J741" t="s">
        <v>15</v>
      </c>
      <c r="K741">
        <v>57.91</v>
      </c>
      <c r="L741" t="s">
        <v>16</v>
      </c>
      <c r="M741" t="s">
        <v>16</v>
      </c>
      <c r="N741" t="s">
        <v>924</v>
      </c>
      <c r="O741">
        <f>_xlfn.XLOOKUP(customer_satisfaction_cleaned[[#This Row],[Product Category]],Table2[Product Category],Table2[Delivery SLA (Days)],"NA",0)</f>
        <v>10</v>
      </c>
      <c r="P7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2" spans="1:16" x14ac:dyDescent="0.2">
      <c r="A742" t="s">
        <v>735</v>
      </c>
      <c r="B742" t="s">
        <v>18</v>
      </c>
      <c r="C742">
        <v>5</v>
      </c>
      <c r="E742" t="s">
        <v>13</v>
      </c>
      <c r="F742">
        <v>96.87</v>
      </c>
      <c r="G742">
        <v>40</v>
      </c>
      <c r="H742" t="s">
        <v>34</v>
      </c>
      <c r="I742" t="s">
        <v>13</v>
      </c>
      <c r="J742" t="s">
        <v>25</v>
      </c>
      <c r="K742">
        <v>96.87</v>
      </c>
      <c r="L742" t="s">
        <v>16</v>
      </c>
      <c r="M742" t="s">
        <v>937</v>
      </c>
      <c r="N742" t="s">
        <v>923</v>
      </c>
      <c r="O742">
        <f>_xlfn.XLOOKUP(customer_satisfaction_cleaned[[#This Row],[Product Category]],Table2[Product Category],Table2[Delivery SLA (Days)],"NA",0)</f>
        <v>10</v>
      </c>
      <c r="P7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43" spans="1:16" x14ac:dyDescent="0.2">
      <c r="A743" t="s">
        <v>736</v>
      </c>
      <c r="B743" t="s">
        <v>18</v>
      </c>
      <c r="C743">
        <v>9</v>
      </c>
      <c r="D743">
        <v>8</v>
      </c>
      <c r="E743" t="s">
        <v>32</v>
      </c>
      <c r="F743">
        <v>146.19999999999999</v>
      </c>
      <c r="G743">
        <v>43</v>
      </c>
      <c r="H743" t="s">
        <v>44</v>
      </c>
      <c r="I743" t="s">
        <v>13</v>
      </c>
      <c r="J743" t="s">
        <v>20</v>
      </c>
      <c r="K743">
        <v>146.19999999999999</v>
      </c>
      <c r="L743" t="s">
        <v>16</v>
      </c>
      <c r="M743" t="s">
        <v>16</v>
      </c>
      <c r="N743" t="s">
        <v>923</v>
      </c>
      <c r="O743">
        <f>_xlfn.XLOOKUP(customer_satisfaction_cleaned[[#This Row],[Product Category]],Table2[Product Category],Table2[Delivery SLA (Days)],"NA",0)</f>
        <v>10</v>
      </c>
      <c r="P7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4" spans="1:16" x14ac:dyDescent="0.2">
      <c r="A744" t="s">
        <v>737</v>
      </c>
      <c r="B744" t="s">
        <v>18</v>
      </c>
      <c r="C744">
        <v>9</v>
      </c>
      <c r="D744">
        <v>5</v>
      </c>
      <c r="E744" t="s">
        <v>21</v>
      </c>
      <c r="F744">
        <v>21.85</v>
      </c>
      <c r="G744">
        <v>37</v>
      </c>
      <c r="H744" t="s">
        <v>24</v>
      </c>
      <c r="I744" t="s">
        <v>21</v>
      </c>
      <c r="J744" t="s">
        <v>25</v>
      </c>
      <c r="K744">
        <v>21.85</v>
      </c>
      <c r="L744" t="s">
        <v>16</v>
      </c>
      <c r="M744" t="s">
        <v>16</v>
      </c>
      <c r="N744" t="s">
        <v>923</v>
      </c>
      <c r="O744">
        <f>_xlfn.XLOOKUP(customer_satisfaction_cleaned[[#This Row],[Product Category]],Table2[Product Category],Table2[Delivery SLA (Days)],"NA",0)</f>
        <v>10</v>
      </c>
      <c r="P7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5" spans="1:16" x14ac:dyDescent="0.2">
      <c r="A745" t="s">
        <v>738</v>
      </c>
      <c r="B745" t="s">
        <v>23</v>
      </c>
      <c r="C745">
        <v>5</v>
      </c>
      <c r="D745">
        <v>0</v>
      </c>
      <c r="E745" t="s">
        <v>32</v>
      </c>
      <c r="F745">
        <v>130.93</v>
      </c>
      <c r="G745">
        <v>30</v>
      </c>
      <c r="H745" t="s">
        <v>15</v>
      </c>
      <c r="I745" t="s">
        <v>13</v>
      </c>
      <c r="J745" t="s">
        <v>15</v>
      </c>
      <c r="K745">
        <v>130.93</v>
      </c>
      <c r="L745" t="s">
        <v>16</v>
      </c>
      <c r="M745" t="s">
        <v>16</v>
      </c>
      <c r="N745" t="s">
        <v>923</v>
      </c>
      <c r="O745">
        <f>_xlfn.XLOOKUP(customer_satisfaction_cleaned[[#This Row],[Product Category]],Table2[Product Category],Table2[Delivery SLA (Days)],"NA",0)</f>
        <v>7</v>
      </c>
      <c r="P7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6" spans="1:16" x14ac:dyDescent="0.2">
      <c r="A746" t="s">
        <v>739</v>
      </c>
      <c r="B746" t="s">
        <v>12</v>
      </c>
      <c r="C746">
        <v>7</v>
      </c>
      <c r="D746">
        <v>6</v>
      </c>
      <c r="E746" t="s">
        <v>29</v>
      </c>
      <c r="F746">
        <v>146</v>
      </c>
      <c r="G746">
        <v>35</v>
      </c>
      <c r="H746" t="s">
        <v>14</v>
      </c>
      <c r="I746" t="s">
        <v>25</v>
      </c>
      <c r="J746" t="s">
        <v>15</v>
      </c>
      <c r="K746">
        <v>146</v>
      </c>
      <c r="L746" t="s">
        <v>16</v>
      </c>
      <c r="M746" t="s">
        <v>16</v>
      </c>
      <c r="N746" t="s">
        <v>923</v>
      </c>
      <c r="O746">
        <f>_xlfn.XLOOKUP(customer_satisfaction_cleaned[[#This Row],[Product Category]],Table2[Product Category],Table2[Delivery SLA (Days)],"NA",0)</f>
        <v>5</v>
      </c>
      <c r="P7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47" spans="1:16" x14ac:dyDescent="0.2">
      <c r="A747" t="s">
        <v>740</v>
      </c>
      <c r="B747" t="s">
        <v>18</v>
      </c>
      <c r="C747">
        <v>6</v>
      </c>
      <c r="D747">
        <v>5</v>
      </c>
      <c r="E747" t="s">
        <v>19</v>
      </c>
      <c r="F747">
        <v>82.06</v>
      </c>
      <c r="G747">
        <v>26</v>
      </c>
      <c r="H747" t="s">
        <v>42</v>
      </c>
      <c r="I747" t="s">
        <v>21</v>
      </c>
      <c r="J747" t="s">
        <v>25</v>
      </c>
      <c r="K747">
        <v>82.06</v>
      </c>
      <c r="L747" t="s">
        <v>16</v>
      </c>
      <c r="M747" t="s">
        <v>16</v>
      </c>
      <c r="N747" t="s">
        <v>924</v>
      </c>
      <c r="O747">
        <f>_xlfn.XLOOKUP(customer_satisfaction_cleaned[[#This Row],[Product Category]],Table2[Product Category],Table2[Delivery SLA (Days)],"NA",0)</f>
        <v>10</v>
      </c>
      <c r="P7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8" spans="1:16" x14ac:dyDescent="0.2">
      <c r="A748" t="s">
        <v>741</v>
      </c>
      <c r="B748" t="s">
        <v>23</v>
      </c>
      <c r="C748">
        <v>9</v>
      </c>
      <c r="E748" t="s">
        <v>21</v>
      </c>
      <c r="F748">
        <v>81.150000000000006</v>
      </c>
      <c r="G748">
        <v>56</v>
      </c>
      <c r="H748" t="s">
        <v>14</v>
      </c>
      <c r="I748" t="s">
        <v>21</v>
      </c>
      <c r="J748" t="s">
        <v>15</v>
      </c>
      <c r="K748">
        <v>81.150000000000006</v>
      </c>
      <c r="L748" t="s">
        <v>16</v>
      </c>
      <c r="M748" t="s">
        <v>937</v>
      </c>
      <c r="N748" t="s">
        <v>923</v>
      </c>
      <c r="O748">
        <f>_xlfn.XLOOKUP(customer_satisfaction_cleaned[[#This Row],[Product Category]],Table2[Product Category],Table2[Delivery SLA (Days)],"NA",0)</f>
        <v>7</v>
      </c>
      <c r="P7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49" spans="1:16" x14ac:dyDescent="0.2">
      <c r="A749" t="s">
        <v>742</v>
      </c>
      <c r="B749" t="s">
        <v>12</v>
      </c>
      <c r="C749">
        <v>7</v>
      </c>
      <c r="D749">
        <v>2</v>
      </c>
      <c r="E749" t="s">
        <v>32</v>
      </c>
      <c r="F749">
        <v>83.91</v>
      </c>
      <c r="G749">
        <v>64</v>
      </c>
      <c r="H749" t="s">
        <v>24</v>
      </c>
      <c r="I749" t="s">
        <v>13</v>
      </c>
      <c r="J749" t="s">
        <v>25</v>
      </c>
      <c r="K749">
        <v>83.91</v>
      </c>
      <c r="L749" t="s">
        <v>16</v>
      </c>
      <c r="M749" t="s">
        <v>16</v>
      </c>
      <c r="N749" t="s">
        <v>925</v>
      </c>
      <c r="O749">
        <f>_xlfn.XLOOKUP(customer_satisfaction_cleaned[[#This Row],[Product Category]],Table2[Product Category],Table2[Delivery SLA (Days)],"NA",0)</f>
        <v>5</v>
      </c>
      <c r="P7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0" spans="1:16" x14ac:dyDescent="0.2">
      <c r="A750" t="s">
        <v>743</v>
      </c>
      <c r="B750" t="s">
        <v>47</v>
      </c>
      <c r="C750">
        <v>7</v>
      </c>
      <c r="D750">
        <v>6</v>
      </c>
      <c r="E750" t="s">
        <v>32</v>
      </c>
      <c r="F750">
        <v>135.13999999999999</v>
      </c>
      <c r="G750">
        <v>24</v>
      </c>
      <c r="H750" t="s">
        <v>24</v>
      </c>
      <c r="I750" t="s">
        <v>13</v>
      </c>
      <c r="J750" t="s">
        <v>25</v>
      </c>
      <c r="K750">
        <v>135.13999999999999</v>
      </c>
      <c r="L750" t="s">
        <v>16</v>
      </c>
      <c r="M750" t="s">
        <v>16</v>
      </c>
      <c r="N750" t="s">
        <v>924</v>
      </c>
      <c r="O750">
        <f>_xlfn.XLOOKUP(customer_satisfaction_cleaned[[#This Row],[Product Category]],Table2[Product Category],Table2[Delivery SLA (Days)],"NA",0)</f>
        <v>7</v>
      </c>
      <c r="P7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1" spans="1:16" x14ac:dyDescent="0.2">
      <c r="A751" t="s">
        <v>744</v>
      </c>
      <c r="B751" t="s">
        <v>47</v>
      </c>
      <c r="C751">
        <v>5</v>
      </c>
      <c r="D751">
        <v>1</v>
      </c>
      <c r="E751" t="s">
        <v>32</v>
      </c>
      <c r="F751">
        <v>129.69999999999999</v>
      </c>
      <c r="G751">
        <v>63</v>
      </c>
      <c r="H751" t="s">
        <v>24</v>
      </c>
      <c r="I751" t="s">
        <v>13</v>
      </c>
      <c r="J751" t="s">
        <v>25</v>
      </c>
      <c r="K751">
        <v>129.69999999999999</v>
      </c>
      <c r="L751" t="s">
        <v>16</v>
      </c>
      <c r="M751" t="s">
        <v>16</v>
      </c>
      <c r="N751" t="s">
        <v>925</v>
      </c>
      <c r="O751">
        <f>_xlfn.XLOOKUP(customer_satisfaction_cleaned[[#This Row],[Product Category]],Table2[Product Category],Table2[Delivery SLA (Days)],"NA",0)</f>
        <v>7</v>
      </c>
      <c r="P7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2" spans="1:16" x14ac:dyDescent="0.2">
      <c r="A752" t="s">
        <v>745</v>
      </c>
      <c r="B752" t="s">
        <v>12</v>
      </c>
      <c r="C752">
        <v>7</v>
      </c>
      <c r="D752">
        <v>11</v>
      </c>
      <c r="E752" t="s">
        <v>29</v>
      </c>
      <c r="F752">
        <v>76.34</v>
      </c>
      <c r="G752">
        <v>33</v>
      </c>
      <c r="H752" t="s">
        <v>44</v>
      </c>
      <c r="I752" t="s">
        <v>25</v>
      </c>
      <c r="J752" t="s">
        <v>20</v>
      </c>
      <c r="K752">
        <v>76.34</v>
      </c>
      <c r="L752" t="s">
        <v>16</v>
      </c>
      <c r="M752" t="s">
        <v>16</v>
      </c>
      <c r="N752" t="s">
        <v>923</v>
      </c>
      <c r="O752">
        <f>_xlfn.XLOOKUP(customer_satisfaction_cleaned[[#This Row],[Product Category]],Table2[Product Category],Table2[Delivery SLA (Days)],"NA",0)</f>
        <v>5</v>
      </c>
      <c r="P7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53" spans="1:16" x14ac:dyDescent="0.2">
      <c r="A753" t="s">
        <v>746</v>
      </c>
      <c r="B753" t="s">
        <v>23</v>
      </c>
      <c r="C753">
        <v>4</v>
      </c>
      <c r="D753">
        <v>6</v>
      </c>
      <c r="E753" t="s">
        <v>21</v>
      </c>
      <c r="F753">
        <v>76.540000000000006</v>
      </c>
      <c r="G753">
        <v>26</v>
      </c>
      <c r="H753" t="s">
        <v>15</v>
      </c>
      <c r="I753" t="s">
        <v>21</v>
      </c>
      <c r="J753" t="s">
        <v>15</v>
      </c>
      <c r="K753">
        <v>76.540000000000006</v>
      </c>
      <c r="L753" t="s">
        <v>16</v>
      </c>
      <c r="M753" t="s">
        <v>16</v>
      </c>
      <c r="N753" t="s">
        <v>924</v>
      </c>
      <c r="O753">
        <f>_xlfn.XLOOKUP(customer_satisfaction_cleaned[[#This Row],[Product Category]],Table2[Product Category],Table2[Delivery SLA (Days)],"NA",0)</f>
        <v>7</v>
      </c>
      <c r="P7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4" spans="1:16" x14ac:dyDescent="0.2">
      <c r="A754" t="s">
        <v>747</v>
      </c>
      <c r="B754" t="s">
        <v>18</v>
      </c>
      <c r="C754">
        <v>8</v>
      </c>
      <c r="D754">
        <v>5</v>
      </c>
      <c r="E754" t="s">
        <v>13</v>
      </c>
      <c r="F754">
        <v>85.69</v>
      </c>
      <c r="G754">
        <v>17</v>
      </c>
      <c r="H754" t="s">
        <v>34</v>
      </c>
      <c r="I754" t="s">
        <v>13</v>
      </c>
      <c r="J754" t="s">
        <v>25</v>
      </c>
      <c r="K754">
        <v>85.69</v>
      </c>
      <c r="L754" t="s">
        <v>16</v>
      </c>
      <c r="M754" t="s">
        <v>16</v>
      </c>
      <c r="N754" t="s">
        <v>924</v>
      </c>
      <c r="O754">
        <f>_xlfn.XLOOKUP(customer_satisfaction_cleaned[[#This Row],[Product Category]],Table2[Product Category],Table2[Delivery SLA (Days)],"NA",0)</f>
        <v>10</v>
      </c>
      <c r="P7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5" spans="1:16" x14ac:dyDescent="0.2">
      <c r="A755" t="s">
        <v>748</v>
      </c>
      <c r="B755" t="s">
        <v>18</v>
      </c>
      <c r="C755">
        <v>8</v>
      </c>
      <c r="D755">
        <v>8</v>
      </c>
      <c r="E755" t="s">
        <v>13</v>
      </c>
      <c r="F755">
        <v>196.96</v>
      </c>
      <c r="G755">
        <v>44</v>
      </c>
      <c r="H755" t="s">
        <v>44</v>
      </c>
      <c r="I755" t="s">
        <v>13</v>
      </c>
      <c r="J755" t="s">
        <v>20</v>
      </c>
      <c r="K755">
        <v>196.96</v>
      </c>
      <c r="L755" t="s">
        <v>16</v>
      </c>
      <c r="M755" t="s">
        <v>16</v>
      </c>
      <c r="N755" t="s">
        <v>923</v>
      </c>
      <c r="O755">
        <f>_xlfn.XLOOKUP(customer_satisfaction_cleaned[[#This Row],[Product Category]],Table2[Product Category],Table2[Delivery SLA (Days)],"NA",0)</f>
        <v>10</v>
      </c>
      <c r="P7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6" spans="1:16" x14ac:dyDescent="0.2">
      <c r="A756" t="s">
        <v>749</v>
      </c>
      <c r="B756" t="s">
        <v>23</v>
      </c>
      <c r="C756">
        <v>9</v>
      </c>
      <c r="D756">
        <v>7</v>
      </c>
      <c r="E756" t="s">
        <v>29</v>
      </c>
      <c r="F756">
        <v>159.13</v>
      </c>
      <c r="G756">
        <v>35</v>
      </c>
      <c r="H756" t="s">
        <v>42</v>
      </c>
      <c r="I756" t="s">
        <v>25</v>
      </c>
      <c r="J756" t="s">
        <v>25</v>
      </c>
      <c r="K756">
        <v>159.13</v>
      </c>
      <c r="L756" t="s">
        <v>16</v>
      </c>
      <c r="M756" t="s">
        <v>16</v>
      </c>
      <c r="N756" t="s">
        <v>923</v>
      </c>
      <c r="O756">
        <f>_xlfn.XLOOKUP(customer_satisfaction_cleaned[[#This Row],[Product Category]],Table2[Product Category],Table2[Delivery SLA (Days)],"NA",0)</f>
        <v>7</v>
      </c>
      <c r="P7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7" spans="1:16" x14ac:dyDescent="0.2">
      <c r="A757" t="s">
        <v>750</v>
      </c>
      <c r="B757" t="s">
        <v>23</v>
      </c>
      <c r="C757">
        <v>4</v>
      </c>
      <c r="D757">
        <v>4</v>
      </c>
      <c r="E757" t="s">
        <v>29</v>
      </c>
      <c r="F757">
        <v>57.02</v>
      </c>
      <c r="G757">
        <v>34</v>
      </c>
      <c r="H757" t="s">
        <v>15</v>
      </c>
      <c r="I757" t="s">
        <v>25</v>
      </c>
      <c r="J757" t="s">
        <v>15</v>
      </c>
      <c r="K757">
        <v>57.02</v>
      </c>
      <c r="L757" t="s">
        <v>16</v>
      </c>
      <c r="M757" t="s">
        <v>16</v>
      </c>
      <c r="N757" t="s">
        <v>923</v>
      </c>
      <c r="O757">
        <f>_xlfn.XLOOKUP(customer_satisfaction_cleaned[[#This Row],[Product Category]],Table2[Product Category],Table2[Delivery SLA (Days)],"NA",0)</f>
        <v>7</v>
      </c>
      <c r="P7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8" spans="1:16" x14ac:dyDescent="0.2">
      <c r="A758" t="s">
        <v>751</v>
      </c>
      <c r="B758" t="s">
        <v>47</v>
      </c>
      <c r="C758">
        <v>7</v>
      </c>
      <c r="D758">
        <v>4</v>
      </c>
      <c r="E758" t="s">
        <v>29</v>
      </c>
      <c r="F758">
        <v>101.46</v>
      </c>
      <c r="G758">
        <v>32</v>
      </c>
      <c r="H758" t="s">
        <v>14</v>
      </c>
      <c r="I758" t="s">
        <v>25</v>
      </c>
      <c r="J758" t="s">
        <v>15</v>
      </c>
      <c r="K758">
        <v>101.46</v>
      </c>
      <c r="L758" t="s">
        <v>16</v>
      </c>
      <c r="M758" t="s">
        <v>16</v>
      </c>
      <c r="N758" t="s">
        <v>923</v>
      </c>
      <c r="O758">
        <f>_xlfn.XLOOKUP(customer_satisfaction_cleaned[[#This Row],[Product Category]],Table2[Product Category],Table2[Delivery SLA (Days)],"NA",0)</f>
        <v>7</v>
      </c>
      <c r="P7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9" spans="1:16" x14ac:dyDescent="0.2">
      <c r="A759" t="s">
        <v>752</v>
      </c>
      <c r="B759" t="s">
        <v>12</v>
      </c>
      <c r="C759">
        <v>9</v>
      </c>
      <c r="D759">
        <v>9</v>
      </c>
      <c r="E759" t="s">
        <v>13</v>
      </c>
      <c r="F759">
        <v>66.03</v>
      </c>
      <c r="G759">
        <v>36</v>
      </c>
      <c r="H759" t="s">
        <v>29</v>
      </c>
      <c r="I759" t="s">
        <v>13</v>
      </c>
      <c r="J759" t="s">
        <v>25</v>
      </c>
      <c r="K759">
        <v>66.03</v>
      </c>
      <c r="L759" t="s">
        <v>16</v>
      </c>
      <c r="M759" t="s">
        <v>16</v>
      </c>
      <c r="N759" t="s">
        <v>923</v>
      </c>
      <c r="O759">
        <f>_xlfn.XLOOKUP(customer_satisfaction_cleaned[[#This Row],[Product Category]],Table2[Product Category],Table2[Delivery SLA (Days)],"NA",0)</f>
        <v>5</v>
      </c>
      <c r="P7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60" spans="1:16" x14ac:dyDescent="0.2">
      <c r="A760" t="s">
        <v>753</v>
      </c>
      <c r="B760" t="s">
        <v>36</v>
      </c>
      <c r="C760">
        <v>7</v>
      </c>
      <c r="E760" t="s">
        <v>13</v>
      </c>
      <c r="F760">
        <v>16.39</v>
      </c>
      <c r="G760">
        <v>65</v>
      </c>
      <c r="H760" t="s">
        <v>42</v>
      </c>
      <c r="I760" t="s">
        <v>13</v>
      </c>
      <c r="J760" t="s">
        <v>25</v>
      </c>
      <c r="K760">
        <v>16.39</v>
      </c>
      <c r="L760" t="s">
        <v>16</v>
      </c>
      <c r="M760" t="s">
        <v>937</v>
      </c>
      <c r="N760" t="s">
        <v>925</v>
      </c>
      <c r="O760" t="str">
        <f>_xlfn.XLOOKUP(customer_satisfaction_cleaned[[#This Row],[Product Category]],Table2[Product Category],Table2[Delivery SLA (Days)],"NA",0)</f>
        <v>NA</v>
      </c>
      <c r="P7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61" spans="1:16" x14ac:dyDescent="0.2">
      <c r="A761" t="s">
        <v>754</v>
      </c>
      <c r="B761" t="s">
        <v>18</v>
      </c>
      <c r="C761">
        <v>8</v>
      </c>
      <c r="D761">
        <v>6</v>
      </c>
      <c r="E761" t="s">
        <v>21</v>
      </c>
      <c r="F761">
        <v>46.03</v>
      </c>
      <c r="G761">
        <v>51</v>
      </c>
      <c r="H761" t="s">
        <v>44</v>
      </c>
      <c r="I761" t="s">
        <v>21</v>
      </c>
      <c r="J761" t="s">
        <v>20</v>
      </c>
      <c r="K761">
        <v>46.03</v>
      </c>
      <c r="L761" t="s">
        <v>16</v>
      </c>
      <c r="M761" t="s">
        <v>16</v>
      </c>
      <c r="N761" t="s">
        <v>923</v>
      </c>
      <c r="O761">
        <f>_xlfn.XLOOKUP(customer_satisfaction_cleaned[[#This Row],[Product Category]],Table2[Product Category],Table2[Delivery SLA (Days)],"NA",0)</f>
        <v>10</v>
      </c>
      <c r="P7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2" spans="1:16" x14ac:dyDescent="0.2">
      <c r="A762" t="s">
        <v>755</v>
      </c>
      <c r="B762" t="s">
        <v>18</v>
      </c>
      <c r="C762">
        <v>9</v>
      </c>
      <c r="D762">
        <v>6</v>
      </c>
      <c r="E762" t="s">
        <v>21</v>
      </c>
      <c r="F762">
        <v>40.99</v>
      </c>
      <c r="G762">
        <v>51</v>
      </c>
      <c r="H762" t="s">
        <v>29</v>
      </c>
      <c r="I762" t="s">
        <v>21</v>
      </c>
      <c r="J762" t="s">
        <v>25</v>
      </c>
      <c r="K762">
        <v>40.99</v>
      </c>
      <c r="L762" t="s">
        <v>16</v>
      </c>
      <c r="M762" t="s">
        <v>16</v>
      </c>
      <c r="N762" t="s">
        <v>923</v>
      </c>
      <c r="O762">
        <f>_xlfn.XLOOKUP(customer_satisfaction_cleaned[[#This Row],[Product Category]],Table2[Product Category],Table2[Delivery SLA (Days)],"NA",0)</f>
        <v>10</v>
      </c>
      <c r="P7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3" spans="1:16" x14ac:dyDescent="0.2">
      <c r="A763" t="s">
        <v>756</v>
      </c>
      <c r="B763" t="s">
        <v>23</v>
      </c>
      <c r="C763">
        <v>9</v>
      </c>
      <c r="D763">
        <v>5</v>
      </c>
      <c r="E763" t="s">
        <v>13</v>
      </c>
      <c r="F763">
        <v>103.44</v>
      </c>
      <c r="G763">
        <v>50</v>
      </c>
      <c r="H763" t="s">
        <v>14</v>
      </c>
      <c r="I763" t="s">
        <v>13</v>
      </c>
      <c r="J763" t="s">
        <v>15</v>
      </c>
      <c r="K763">
        <v>103.44</v>
      </c>
      <c r="L763" t="s">
        <v>16</v>
      </c>
      <c r="M763" t="s">
        <v>16</v>
      </c>
      <c r="N763" t="s">
        <v>923</v>
      </c>
      <c r="O763">
        <f>_xlfn.XLOOKUP(customer_satisfaction_cleaned[[#This Row],[Product Category]],Table2[Product Category],Table2[Delivery SLA (Days)],"NA",0)</f>
        <v>7</v>
      </c>
      <c r="P7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4" spans="1:16" x14ac:dyDescent="0.2">
      <c r="A764" t="s">
        <v>757</v>
      </c>
      <c r="B764" t="s">
        <v>23</v>
      </c>
      <c r="C764">
        <v>9</v>
      </c>
      <c r="E764" t="s">
        <v>21</v>
      </c>
      <c r="F764">
        <v>121.38</v>
      </c>
      <c r="G764">
        <v>18</v>
      </c>
      <c r="H764" t="s">
        <v>29</v>
      </c>
      <c r="I764" t="s">
        <v>21</v>
      </c>
      <c r="J764" t="s">
        <v>25</v>
      </c>
      <c r="K764">
        <v>121.38</v>
      </c>
      <c r="L764" t="s">
        <v>16</v>
      </c>
      <c r="M764" t="s">
        <v>937</v>
      </c>
      <c r="N764" t="s">
        <v>924</v>
      </c>
      <c r="O764">
        <f>_xlfn.XLOOKUP(customer_satisfaction_cleaned[[#This Row],[Product Category]],Table2[Product Category],Table2[Delivery SLA (Days)],"NA",0)</f>
        <v>7</v>
      </c>
      <c r="P7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65" spans="1:16" x14ac:dyDescent="0.2">
      <c r="A765" t="s">
        <v>758</v>
      </c>
      <c r="B765" t="s">
        <v>18</v>
      </c>
      <c r="C765">
        <v>6</v>
      </c>
      <c r="D765">
        <v>7</v>
      </c>
      <c r="E765" t="s">
        <v>13</v>
      </c>
      <c r="F765">
        <v>44.5</v>
      </c>
      <c r="H765" t="s">
        <v>24</v>
      </c>
      <c r="I765" t="s">
        <v>13</v>
      </c>
      <c r="J765" t="s">
        <v>25</v>
      </c>
      <c r="K765">
        <v>44.5</v>
      </c>
      <c r="L765" t="s">
        <v>16</v>
      </c>
      <c r="M765" t="s">
        <v>16</v>
      </c>
      <c r="N765" t="s">
        <v>922</v>
      </c>
      <c r="O765">
        <f>_xlfn.XLOOKUP(customer_satisfaction_cleaned[[#This Row],[Product Category]],Table2[Product Category],Table2[Delivery SLA (Days)],"NA",0)</f>
        <v>10</v>
      </c>
      <c r="P7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6" spans="1:16" x14ac:dyDescent="0.2">
      <c r="A766" t="s">
        <v>759</v>
      </c>
      <c r="B766" t="s">
        <v>12</v>
      </c>
      <c r="C766">
        <v>4</v>
      </c>
      <c r="D766">
        <v>4</v>
      </c>
      <c r="E766" t="s">
        <v>21</v>
      </c>
      <c r="F766">
        <v>97.71</v>
      </c>
      <c r="G766">
        <v>51</v>
      </c>
      <c r="H766" t="s">
        <v>14</v>
      </c>
      <c r="I766" t="s">
        <v>21</v>
      </c>
      <c r="J766" t="s">
        <v>15</v>
      </c>
      <c r="K766">
        <v>97.71</v>
      </c>
      <c r="L766" t="s">
        <v>16</v>
      </c>
      <c r="M766" t="s">
        <v>16</v>
      </c>
      <c r="N766" t="s">
        <v>923</v>
      </c>
      <c r="O766">
        <f>_xlfn.XLOOKUP(customer_satisfaction_cleaned[[#This Row],[Product Category]],Table2[Product Category],Table2[Delivery SLA (Days)],"NA",0)</f>
        <v>5</v>
      </c>
      <c r="P7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7" spans="1:16" x14ac:dyDescent="0.2">
      <c r="A767" t="s">
        <v>760</v>
      </c>
      <c r="B767" t="s">
        <v>12</v>
      </c>
      <c r="C767">
        <v>8</v>
      </c>
      <c r="D767">
        <v>4</v>
      </c>
      <c r="E767" t="s">
        <v>13</v>
      </c>
      <c r="F767">
        <v>85.58</v>
      </c>
      <c r="G767">
        <v>43</v>
      </c>
      <c r="H767" t="s">
        <v>15</v>
      </c>
      <c r="I767" t="s">
        <v>13</v>
      </c>
      <c r="J767" t="s">
        <v>15</v>
      </c>
      <c r="K767">
        <v>85.58</v>
      </c>
      <c r="L767" t="s">
        <v>16</v>
      </c>
      <c r="M767" t="s">
        <v>16</v>
      </c>
      <c r="N767" t="s">
        <v>923</v>
      </c>
      <c r="O767">
        <f>_xlfn.XLOOKUP(customer_satisfaction_cleaned[[#This Row],[Product Category]],Table2[Product Category],Table2[Delivery SLA (Days)],"NA",0)</f>
        <v>5</v>
      </c>
      <c r="P7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8" spans="1:16" x14ac:dyDescent="0.2">
      <c r="A768" t="s">
        <v>761</v>
      </c>
      <c r="B768" t="s">
        <v>18</v>
      </c>
      <c r="D768">
        <v>6</v>
      </c>
      <c r="E768" t="s">
        <v>19</v>
      </c>
      <c r="F768">
        <v>190.33</v>
      </c>
      <c r="G768">
        <v>46</v>
      </c>
      <c r="H768" t="s">
        <v>42</v>
      </c>
      <c r="I768" t="s">
        <v>21</v>
      </c>
      <c r="J768" t="s">
        <v>25</v>
      </c>
      <c r="K768">
        <v>190.33</v>
      </c>
      <c r="L768" t="s">
        <v>936</v>
      </c>
      <c r="M768" t="s">
        <v>16</v>
      </c>
      <c r="N768" t="s">
        <v>923</v>
      </c>
      <c r="O768">
        <f>_xlfn.XLOOKUP(customer_satisfaction_cleaned[[#This Row],[Product Category]],Table2[Product Category],Table2[Delivery SLA (Days)],"NA",0)</f>
        <v>10</v>
      </c>
      <c r="P7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9" spans="1:16" x14ac:dyDescent="0.2">
      <c r="A769" t="s">
        <v>762</v>
      </c>
      <c r="B769" t="s">
        <v>47</v>
      </c>
      <c r="C769">
        <v>10</v>
      </c>
      <c r="E769" t="s">
        <v>19</v>
      </c>
      <c r="F769">
        <v>127.35</v>
      </c>
      <c r="G769">
        <v>46</v>
      </c>
      <c r="H769" t="s">
        <v>44</v>
      </c>
      <c r="I769" t="s">
        <v>21</v>
      </c>
      <c r="J769" t="s">
        <v>20</v>
      </c>
      <c r="K769">
        <v>127.35</v>
      </c>
      <c r="L769" t="s">
        <v>16</v>
      </c>
      <c r="M769" t="s">
        <v>937</v>
      </c>
      <c r="N769" t="s">
        <v>923</v>
      </c>
      <c r="O769">
        <f>_xlfn.XLOOKUP(customer_satisfaction_cleaned[[#This Row],[Product Category]],Table2[Product Category],Table2[Delivery SLA (Days)],"NA",0)</f>
        <v>7</v>
      </c>
      <c r="P7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70" spans="1:16" x14ac:dyDescent="0.2">
      <c r="A770" t="s">
        <v>763</v>
      </c>
      <c r="B770" t="s">
        <v>23</v>
      </c>
      <c r="C770">
        <v>7</v>
      </c>
      <c r="D770">
        <v>7</v>
      </c>
      <c r="E770" t="s">
        <v>21</v>
      </c>
      <c r="F770">
        <v>7.47</v>
      </c>
      <c r="G770">
        <v>38</v>
      </c>
      <c r="H770" t="s">
        <v>24</v>
      </c>
      <c r="I770" t="s">
        <v>21</v>
      </c>
      <c r="J770" t="s">
        <v>25</v>
      </c>
      <c r="K770">
        <v>7.47</v>
      </c>
      <c r="L770" t="s">
        <v>16</v>
      </c>
      <c r="M770" t="s">
        <v>16</v>
      </c>
      <c r="N770" t="s">
        <v>923</v>
      </c>
      <c r="O770">
        <f>_xlfn.XLOOKUP(customer_satisfaction_cleaned[[#This Row],[Product Category]],Table2[Product Category],Table2[Delivery SLA (Days)],"NA",0)</f>
        <v>7</v>
      </c>
      <c r="P7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1" spans="1:16" x14ac:dyDescent="0.2">
      <c r="A771" t="s">
        <v>764</v>
      </c>
      <c r="B771" t="s">
        <v>47</v>
      </c>
      <c r="C771">
        <v>9</v>
      </c>
      <c r="D771">
        <v>7</v>
      </c>
      <c r="E771" t="s">
        <v>13</v>
      </c>
      <c r="F771">
        <v>41.56</v>
      </c>
      <c r="G771">
        <v>57</v>
      </c>
      <c r="H771" t="s">
        <v>14</v>
      </c>
      <c r="I771" t="s">
        <v>13</v>
      </c>
      <c r="J771" t="s">
        <v>15</v>
      </c>
      <c r="K771">
        <v>41.56</v>
      </c>
      <c r="L771" t="s">
        <v>16</v>
      </c>
      <c r="M771" t="s">
        <v>16</v>
      </c>
      <c r="N771" t="s">
        <v>923</v>
      </c>
      <c r="O771">
        <f>_xlfn.XLOOKUP(customer_satisfaction_cleaned[[#This Row],[Product Category]],Table2[Product Category],Table2[Delivery SLA (Days)],"NA",0)</f>
        <v>7</v>
      </c>
      <c r="P7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2" spans="1:16" x14ac:dyDescent="0.2">
      <c r="A772" t="s">
        <v>765</v>
      </c>
      <c r="B772" t="s">
        <v>23</v>
      </c>
      <c r="C772">
        <v>7</v>
      </c>
      <c r="D772">
        <v>7</v>
      </c>
      <c r="E772" t="s">
        <v>19</v>
      </c>
      <c r="F772">
        <v>90.11</v>
      </c>
      <c r="G772">
        <v>22</v>
      </c>
      <c r="H772" t="s">
        <v>24</v>
      </c>
      <c r="I772" t="s">
        <v>21</v>
      </c>
      <c r="J772" t="s">
        <v>25</v>
      </c>
      <c r="K772">
        <v>90.11</v>
      </c>
      <c r="L772" t="s">
        <v>16</v>
      </c>
      <c r="M772" t="s">
        <v>16</v>
      </c>
      <c r="N772" t="s">
        <v>924</v>
      </c>
      <c r="O772">
        <f>_xlfn.XLOOKUP(customer_satisfaction_cleaned[[#This Row],[Product Category]],Table2[Product Category],Table2[Delivery SLA (Days)],"NA",0)</f>
        <v>7</v>
      </c>
      <c r="P7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3" spans="1:16" x14ac:dyDescent="0.2">
      <c r="A773" t="s">
        <v>766</v>
      </c>
      <c r="B773" t="s">
        <v>47</v>
      </c>
      <c r="C773">
        <v>5</v>
      </c>
      <c r="D773">
        <v>4</v>
      </c>
      <c r="E773" t="s">
        <v>13</v>
      </c>
      <c r="F773">
        <v>77.02</v>
      </c>
      <c r="G773">
        <v>58</v>
      </c>
      <c r="H773" t="s">
        <v>44</v>
      </c>
      <c r="I773" t="s">
        <v>13</v>
      </c>
      <c r="J773" t="s">
        <v>20</v>
      </c>
      <c r="K773">
        <v>77.02</v>
      </c>
      <c r="L773" t="s">
        <v>16</v>
      </c>
      <c r="M773" t="s">
        <v>16</v>
      </c>
      <c r="N773" t="s">
        <v>923</v>
      </c>
      <c r="O773">
        <f>_xlfn.XLOOKUP(customer_satisfaction_cleaned[[#This Row],[Product Category]],Table2[Product Category],Table2[Delivery SLA (Days)],"NA",0)</f>
        <v>7</v>
      </c>
      <c r="P7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4" spans="1:16" x14ac:dyDescent="0.2">
      <c r="A774" t="s">
        <v>767</v>
      </c>
      <c r="B774" t="s">
        <v>12</v>
      </c>
      <c r="C774">
        <v>9</v>
      </c>
      <c r="D774">
        <v>6</v>
      </c>
      <c r="E774" t="s">
        <v>21</v>
      </c>
      <c r="F774">
        <v>186.17</v>
      </c>
      <c r="G774">
        <v>31</v>
      </c>
      <c r="H774" t="s">
        <v>42</v>
      </c>
      <c r="I774" t="s">
        <v>21</v>
      </c>
      <c r="J774" t="s">
        <v>25</v>
      </c>
      <c r="K774">
        <v>186.17</v>
      </c>
      <c r="L774" t="s">
        <v>16</v>
      </c>
      <c r="M774" t="s">
        <v>16</v>
      </c>
      <c r="N774" t="s">
        <v>923</v>
      </c>
      <c r="O774">
        <f>_xlfn.XLOOKUP(customer_satisfaction_cleaned[[#This Row],[Product Category]],Table2[Product Category],Table2[Delivery SLA (Days)],"NA",0)</f>
        <v>5</v>
      </c>
      <c r="P7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75" spans="1:16" x14ac:dyDescent="0.2">
      <c r="A775" t="s">
        <v>768</v>
      </c>
      <c r="B775" t="s">
        <v>18</v>
      </c>
      <c r="C775">
        <v>6</v>
      </c>
      <c r="D775">
        <v>4</v>
      </c>
      <c r="E775" t="s">
        <v>13</v>
      </c>
      <c r="F775">
        <v>68.53</v>
      </c>
      <c r="G775">
        <v>28</v>
      </c>
      <c r="H775" t="s">
        <v>42</v>
      </c>
      <c r="I775" t="s">
        <v>13</v>
      </c>
      <c r="J775" t="s">
        <v>25</v>
      </c>
      <c r="K775">
        <v>68.53</v>
      </c>
      <c r="L775" t="s">
        <v>16</v>
      </c>
      <c r="M775" t="s">
        <v>16</v>
      </c>
      <c r="N775" t="s">
        <v>924</v>
      </c>
      <c r="O775">
        <f>_xlfn.XLOOKUP(customer_satisfaction_cleaned[[#This Row],[Product Category]],Table2[Product Category],Table2[Delivery SLA (Days)],"NA",0)</f>
        <v>10</v>
      </c>
      <c r="P7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6" spans="1:16" x14ac:dyDescent="0.2">
      <c r="A776" t="s">
        <v>769</v>
      </c>
      <c r="B776" t="s">
        <v>18</v>
      </c>
      <c r="D776">
        <v>3</v>
      </c>
      <c r="E776" t="s">
        <v>19</v>
      </c>
      <c r="F776">
        <v>149.51</v>
      </c>
      <c r="G776">
        <v>13</v>
      </c>
      <c r="H776" t="s">
        <v>34</v>
      </c>
      <c r="I776" t="s">
        <v>21</v>
      </c>
      <c r="J776" t="s">
        <v>25</v>
      </c>
      <c r="K776">
        <v>149.51</v>
      </c>
      <c r="L776" t="s">
        <v>936</v>
      </c>
      <c r="M776" t="s">
        <v>16</v>
      </c>
      <c r="N776" t="s">
        <v>926</v>
      </c>
      <c r="O776">
        <f>_xlfn.XLOOKUP(customer_satisfaction_cleaned[[#This Row],[Product Category]],Table2[Product Category],Table2[Delivery SLA (Days)],"NA",0)</f>
        <v>10</v>
      </c>
      <c r="P7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7" spans="1:16" x14ac:dyDescent="0.2">
      <c r="A777" t="s">
        <v>770</v>
      </c>
      <c r="B777" t="s">
        <v>47</v>
      </c>
      <c r="C777">
        <v>9</v>
      </c>
      <c r="D777">
        <v>5</v>
      </c>
      <c r="E777" t="s">
        <v>13</v>
      </c>
      <c r="F777">
        <v>11246</v>
      </c>
      <c r="G777">
        <v>52</v>
      </c>
      <c r="H777" t="s">
        <v>15</v>
      </c>
      <c r="I777" t="s">
        <v>13</v>
      </c>
      <c r="J777" t="s">
        <v>15</v>
      </c>
      <c r="K777">
        <v>11246</v>
      </c>
      <c r="L777" t="s">
        <v>16</v>
      </c>
      <c r="M777" t="s">
        <v>16</v>
      </c>
      <c r="N777" t="s">
        <v>923</v>
      </c>
      <c r="O777">
        <f>_xlfn.XLOOKUP(customer_satisfaction_cleaned[[#This Row],[Product Category]],Table2[Product Category],Table2[Delivery SLA (Days)],"NA",0)</f>
        <v>7</v>
      </c>
      <c r="P7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8" spans="1:16" x14ac:dyDescent="0.2">
      <c r="A778" t="s">
        <v>771</v>
      </c>
      <c r="B778" t="s">
        <v>47</v>
      </c>
      <c r="C778">
        <v>5</v>
      </c>
      <c r="D778">
        <v>4</v>
      </c>
      <c r="E778" t="s">
        <v>19</v>
      </c>
      <c r="F778">
        <v>32.090000000000003</v>
      </c>
      <c r="G778">
        <v>47</v>
      </c>
      <c r="H778" t="s">
        <v>44</v>
      </c>
      <c r="I778" t="s">
        <v>21</v>
      </c>
      <c r="J778" t="s">
        <v>20</v>
      </c>
      <c r="K778">
        <v>32.090000000000003</v>
      </c>
      <c r="L778" t="s">
        <v>16</v>
      </c>
      <c r="M778" t="s">
        <v>16</v>
      </c>
      <c r="N778" t="s">
        <v>923</v>
      </c>
      <c r="O778">
        <f>_xlfn.XLOOKUP(customer_satisfaction_cleaned[[#This Row],[Product Category]],Table2[Product Category],Table2[Delivery SLA (Days)],"NA",0)</f>
        <v>7</v>
      </c>
      <c r="P7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9" spans="1:16" x14ac:dyDescent="0.2">
      <c r="A779" t="s">
        <v>772</v>
      </c>
      <c r="B779" t="s">
        <v>18</v>
      </c>
      <c r="C779">
        <v>8</v>
      </c>
      <c r="D779">
        <v>6</v>
      </c>
      <c r="E779" t="s">
        <v>32</v>
      </c>
      <c r="F779">
        <v>144.93</v>
      </c>
      <c r="G779">
        <v>25</v>
      </c>
      <c r="H779" t="s">
        <v>14</v>
      </c>
      <c r="I779" t="s">
        <v>13</v>
      </c>
      <c r="J779" t="s">
        <v>15</v>
      </c>
      <c r="K779">
        <v>144.93</v>
      </c>
      <c r="L779" t="s">
        <v>16</v>
      </c>
      <c r="M779" t="s">
        <v>16</v>
      </c>
      <c r="N779" t="s">
        <v>924</v>
      </c>
      <c r="O779">
        <f>_xlfn.XLOOKUP(customer_satisfaction_cleaned[[#This Row],[Product Category]],Table2[Product Category],Table2[Delivery SLA (Days)],"NA",0)</f>
        <v>10</v>
      </c>
      <c r="P7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0" spans="1:16" x14ac:dyDescent="0.2">
      <c r="A780" t="s">
        <v>773</v>
      </c>
      <c r="B780" t="s">
        <v>23</v>
      </c>
      <c r="C780">
        <v>6</v>
      </c>
      <c r="D780">
        <v>9</v>
      </c>
      <c r="E780" t="s">
        <v>29</v>
      </c>
      <c r="F780">
        <v>100.76</v>
      </c>
      <c r="G780">
        <v>42</v>
      </c>
      <c r="H780" t="s">
        <v>24</v>
      </c>
      <c r="I780" t="s">
        <v>25</v>
      </c>
      <c r="J780" t="s">
        <v>25</v>
      </c>
      <c r="K780">
        <v>100.76</v>
      </c>
      <c r="L780" t="s">
        <v>16</v>
      </c>
      <c r="M780" t="s">
        <v>16</v>
      </c>
      <c r="N780" t="s">
        <v>923</v>
      </c>
      <c r="O780">
        <f>_xlfn.XLOOKUP(customer_satisfaction_cleaned[[#This Row],[Product Category]],Table2[Product Category],Table2[Delivery SLA (Days)],"NA",0)</f>
        <v>7</v>
      </c>
      <c r="P7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81" spans="1:16" x14ac:dyDescent="0.2">
      <c r="A781" t="s">
        <v>774</v>
      </c>
      <c r="B781" t="s">
        <v>47</v>
      </c>
      <c r="C781">
        <v>10</v>
      </c>
      <c r="D781">
        <v>3</v>
      </c>
      <c r="E781" t="s">
        <v>13</v>
      </c>
      <c r="F781">
        <v>154.38999999999999</v>
      </c>
      <c r="G781">
        <v>37</v>
      </c>
      <c r="H781" t="s">
        <v>42</v>
      </c>
      <c r="I781" t="s">
        <v>13</v>
      </c>
      <c r="J781" t="s">
        <v>25</v>
      </c>
      <c r="K781">
        <v>154.38999999999999</v>
      </c>
      <c r="L781" t="s">
        <v>16</v>
      </c>
      <c r="M781" t="s">
        <v>16</v>
      </c>
      <c r="N781" t="s">
        <v>923</v>
      </c>
      <c r="O781">
        <f>_xlfn.XLOOKUP(customer_satisfaction_cleaned[[#This Row],[Product Category]],Table2[Product Category],Table2[Delivery SLA (Days)],"NA",0)</f>
        <v>7</v>
      </c>
      <c r="P7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2" spans="1:16" x14ac:dyDescent="0.2">
      <c r="A782" t="s">
        <v>775</v>
      </c>
      <c r="B782" t="s">
        <v>18</v>
      </c>
      <c r="C782">
        <v>7</v>
      </c>
      <c r="D782">
        <v>3</v>
      </c>
      <c r="E782" t="s">
        <v>21</v>
      </c>
      <c r="F782">
        <v>206.03</v>
      </c>
      <c r="G782">
        <v>11</v>
      </c>
      <c r="H782" t="s">
        <v>14</v>
      </c>
      <c r="I782" t="s">
        <v>21</v>
      </c>
      <c r="J782" t="s">
        <v>15</v>
      </c>
      <c r="K782">
        <v>206.03</v>
      </c>
      <c r="L782" t="s">
        <v>16</v>
      </c>
      <c r="M782" t="s">
        <v>16</v>
      </c>
      <c r="N782" t="s">
        <v>926</v>
      </c>
      <c r="O782">
        <f>_xlfn.XLOOKUP(customer_satisfaction_cleaned[[#This Row],[Product Category]],Table2[Product Category],Table2[Delivery SLA (Days)],"NA",0)</f>
        <v>10</v>
      </c>
      <c r="P7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3" spans="1:16" x14ac:dyDescent="0.2">
      <c r="A783" t="s">
        <v>776</v>
      </c>
      <c r="B783" t="s">
        <v>23</v>
      </c>
      <c r="C783">
        <v>7</v>
      </c>
      <c r="D783">
        <v>5</v>
      </c>
      <c r="E783" t="s">
        <v>29</v>
      </c>
      <c r="F783">
        <v>84.93</v>
      </c>
      <c r="G783">
        <v>46</v>
      </c>
      <c r="H783" t="s">
        <v>34</v>
      </c>
      <c r="I783" t="s">
        <v>25</v>
      </c>
      <c r="J783" t="s">
        <v>25</v>
      </c>
      <c r="K783">
        <v>84.93</v>
      </c>
      <c r="L783" t="s">
        <v>16</v>
      </c>
      <c r="M783" t="s">
        <v>16</v>
      </c>
      <c r="N783" t="s">
        <v>923</v>
      </c>
      <c r="O783">
        <f>_xlfn.XLOOKUP(customer_satisfaction_cleaned[[#This Row],[Product Category]],Table2[Product Category],Table2[Delivery SLA (Days)],"NA",0)</f>
        <v>7</v>
      </c>
      <c r="P7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4" spans="1:16" x14ac:dyDescent="0.2">
      <c r="A784" t="s">
        <v>777</v>
      </c>
      <c r="B784" t="s">
        <v>47</v>
      </c>
      <c r="C784">
        <v>8</v>
      </c>
      <c r="D784">
        <v>3</v>
      </c>
      <c r="E784" t="s">
        <v>21</v>
      </c>
      <c r="F784">
        <v>71.39</v>
      </c>
      <c r="G784">
        <v>31</v>
      </c>
      <c r="H784" t="s">
        <v>24</v>
      </c>
      <c r="I784" t="s">
        <v>21</v>
      </c>
      <c r="J784" t="s">
        <v>25</v>
      </c>
      <c r="K784">
        <v>71.39</v>
      </c>
      <c r="L784" t="s">
        <v>16</v>
      </c>
      <c r="M784" t="s">
        <v>16</v>
      </c>
      <c r="N784" t="s">
        <v>923</v>
      </c>
      <c r="O784">
        <f>_xlfn.XLOOKUP(customer_satisfaction_cleaned[[#This Row],[Product Category]],Table2[Product Category],Table2[Delivery SLA (Days)],"NA",0)</f>
        <v>7</v>
      </c>
      <c r="P7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5" spans="1:16" x14ac:dyDescent="0.2">
      <c r="A785" t="s">
        <v>778</v>
      </c>
      <c r="B785" t="s">
        <v>47</v>
      </c>
      <c r="C785">
        <v>6</v>
      </c>
      <c r="D785">
        <v>6</v>
      </c>
      <c r="E785" t="s">
        <v>19</v>
      </c>
      <c r="F785">
        <v>90.66</v>
      </c>
      <c r="G785">
        <v>32</v>
      </c>
      <c r="H785" t="s">
        <v>34</v>
      </c>
      <c r="I785" t="s">
        <v>21</v>
      </c>
      <c r="J785" t="s">
        <v>25</v>
      </c>
      <c r="K785">
        <v>90.66</v>
      </c>
      <c r="L785" t="s">
        <v>16</v>
      </c>
      <c r="M785" t="s">
        <v>16</v>
      </c>
      <c r="N785" t="s">
        <v>923</v>
      </c>
      <c r="O785">
        <f>_xlfn.XLOOKUP(customer_satisfaction_cleaned[[#This Row],[Product Category]],Table2[Product Category],Table2[Delivery SLA (Days)],"NA",0)</f>
        <v>7</v>
      </c>
      <c r="P7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6" spans="1:16" x14ac:dyDescent="0.2">
      <c r="A786" t="s">
        <v>779</v>
      </c>
      <c r="B786" t="s">
        <v>47</v>
      </c>
      <c r="C786">
        <v>8</v>
      </c>
      <c r="D786">
        <v>6</v>
      </c>
      <c r="E786" t="s">
        <v>21</v>
      </c>
      <c r="F786">
        <v>89.18</v>
      </c>
      <c r="G786">
        <v>24</v>
      </c>
      <c r="H786" t="s">
        <v>20</v>
      </c>
      <c r="I786" t="s">
        <v>21</v>
      </c>
      <c r="J786" t="s">
        <v>20</v>
      </c>
      <c r="K786">
        <v>89.18</v>
      </c>
      <c r="L786" t="s">
        <v>16</v>
      </c>
      <c r="M786" t="s">
        <v>16</v>
      </c>
      <c r="N786" t="s">
        <v>924</v>
      </c>
      <c r="O786">
        <f>_xlfn.XLOOKUP(customer_satisfaction_cleaned[[#This Row],[Product Category]],Table2[Product Category],Table2[Delivery SLA (Days)],"NA",0)</f>
        <v>7</v>
      </c>
      <c r="P7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7" spans="1:16" x14ac:dyDescent="0.2">
      <c r="A787" t="s">
        <v>780</v>
      </c>
      <c r="B787" t="s">
        <v>18</v>
      </c>
      <c r="C787">
        <v>8</v>
      </c>
      <c r="D787">
        <v>3</v>
      </c>
      <c r="E787" t="s">
        <v>19</v>
      </c>
      <c r="F787">
        <v>37.72</v>
      </c>
      <c r="G787">
        <v>26</v>
      </c>
      <c r="H787" t="s">
        <v>29</v>
      </c>
      <c r="I787" t="s">
        <v>21</v>
      </c>
      <c r="J787" t="s">
        <v>25</v>
      </c>
      <c r="K787">
        <v>37.72</v>
      </c>
      <c r="L787" t="s">
        <v>16</v>
      </c>
      <c r="M787" t="s">
        <v>16</v>
      </c>
      <c r="N787" t="s">
        <v>924</v>
      </c>
      <c r="O787">
        <f>_xlfn.XLOOKUP(customer_satisfaction_cleaned[[#This Row],[Product Category]],Table2[Product Category],Table2[Delivery SLA (Days)],"NA",0)</f>
        <v>10</v>
      </c>
      <c r="P7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8" spans="1:16" x14ac:dyDescent="0.2">
      <c r="A788" t="s">
        <v>781</v>
      </c>
      <c r="B788" t="s">
        <v>23</v>
      </c>
      <c r="C788">
        <v>8</v>
      </c>
      <c r="D788">
        <v>3</v>
      </c>
      <c r="E788" t="s">
        <v>19</v>
      </c>
      <c r="F788">
        <v>157.35</v>
      </c>
      <c r="G788">
        <v>16</v>
      </c>
      <c r="H788" t="s">
        <v>24</v>
      </c>
      <c r="I788" t="s">
        <v>21</v>
      </c>
      <c r="J788" t="s">
        <v>25</v>
      </c>
      <c r="K788">
        <v>157.35</v>
      </c>
      <c r="L788" t="s">
        <v>16</v>
      </c>
      <c r="M788" t="s">
        <v>16</v>
      </c>
      <c r="N788" t="s">
        <v>924</v>
      </c>
      <c r="O788">
        <f>_xlfn.XLOOKUP(customer_satisfaction_cleaned[[#This Row],[Product Category]],Table2[Product Category],Table2[Delivery SLA (Days)],"NA",0)</f>
        <v>7</v>
      </c>
      <c r="P7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9" spans="1:16" x14ac:dyDescent="0.2">
      <c r="A789" t="s">
        <v>782</v>
      </c>
      <c r="B789" t="s">
        <v>12</v>
      </c>
      <c r="C789">
        <v>6</v>
      </c>
      <c r="D789">
        <v>4</v>
      </c>
      <c r="E789" t="s">
        <v>13</v>
      </c>
      <c r="F789">
        <v>103.21</v>
      </c>
      <c r="G789">
        <v>39</v>
      </c>
      <c r="H789" t="s">
        <v>24</v>
      </c>
      <c r="I789" t="s">
        <v>13</v>
      </c>
      <c r="J789" t="s">
        <v>25</v>
      </c>
      <c r="K789">
        <v>103.21</v>
      </c>
      <c r="L789" t="s">
        <v>16</v>
      </c>
      <c r="M789" t="s">
        <v>16</v>
      </c>
      <c r="N789" t="s">
        <v>923</v>
      </c>
      <c r="O789">
        <f>_xlfn.XLOOKUP(customer_satisfaction_cleaned[[#This Row],[Product Category]],Table2[Product Category],Table2[Delivery SLA (Days)],"NA",0)</f>
        <v>5</v>
      </c>
      <c r="P7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0" spans="1:16" x14ac:dyDescent="0.2">
      <c r="A790" t="s">
        <v>783</v>
      </c>
      <c r="B790" t="s">
        <v>18</v>
      </c>
      <c r="C790">
        <v>5</v>
      </c>
      <c r="D790">
        <v>6</v>
      </c>
      <c r="E790" t="s">
        <v>13</v>
      </c>
      <c r="F790">
        <v>59.27</v>
      </c>
      <c r="G790">
        <v>53</v>
      </c>
      <c r="H790" t="s">
        <v>15</v>
      </c>
      <c r="I790" t="s">
        <v>13</v>
      </c>
      <c r="J790" t="s">
        <v>15</v>
      </c>
      <c r="K790">
        <v>59.27</v>
      </c>
      <c r="L790" t="s">
        <v>16</v>
      </c>
      <c r="M790" t="s">
        <v>16</v>
      </c>
      <c r="N790" t="s">
        <v>923</v>
      </c>
      <c r="O790">
        <f>_xlfn.XLOOKUP(customer_satisfaction_cleaned[[#This Row],[Product Category]],Table2[Product Category],Table2[Delivery SLA (Days)],"NA",0)</f>
        <v>10</v>
      </c>
      <c r="P7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1" spans="1:16" x14ac:dyDescent="0.2">
      <c r="A791" t="s">
        <v>784</v>
      </c>
      <c r="B791" t="s">
        <v>36</v>
      </c>
      <c r="C791">
        <v>7</v>
      </c>
      <c r="D791">
        <v>7</v>
      </c>
      <c r="E791" t="s">
        <v>21</v>
      </c>
      <c r="F791">
        <v>70.5</v>
      </c>
      <c r="G791">
        <v>52</v>
      </c>
      <c r="H791" t="s">
        <v>34</v>
      </c>
      <c r="I791" t="s">
        <v>21</v>
      </c>
      <c r="J791" t="s">
        <v>25</v>
      </c>
      <c r="K791">
        <v>70.5</v>
      </c>
      <c r="L791" t="s">
        <v>16</v>
      </c>
      <c r="M791" t="s">
        <v>16</v>
      </c>
      <c r="N791" t="s">
        <v>923</v>
      </c>
      <c r="O791" t="str">
        <f>_xlfn.XLOOKUP(customer_satisfaction_cleaned[[#This Row],[Product Category]],Table2[Product Category],Table2[Delivery SLA (Days)],"NA",0)</f>
        <v>NA</v>
      </c>
      <c r="P7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92" spans="1:16" x14ac:dyDescent="0.2">
      <c r="A792" t="s">
        <v>785</v>
      </c>
      <c r="B792" t="s">
        <v>18</v>
      </c>
      <c r="C792">
        <v>7</v>
      </c>
      <c r="D792">
        <v>3</v>
      </c>
      <c r="E792" t="s">
        <v>29</v>
      </c>
      <c r="F792">
        <v>104.84</v>
      </c>
      <c r="G792">
        <v>33</v>
      </c>
      <c r="H792" t="s">
        <v>15</v>
      </c>
      <c r="I792" t="s">
        <v>25</v>
      </c>
      <c r="J792" t="s">
        <v>15</v>
      </c>
      <c r="K792">
        <v>104.84</v>
      </c>
      <c r="L792" t="s">
        <v>16</v>
      </c>
      <c r="M792" t="s">
        <v>16</v>
      </c>
      <c r="N792" t="s">
        <v>923</v>
      </c>
      <c r="O792">
        <f>_xlfn.XLOOKUP(customer_satisfaction_cleaned[[#This Row],[Product Category]],Table2[Product Category],Table2[Delivery SLA (Days)],"NA",0)</f>
        <v>10</v>
      </c>
      <c r="P7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3" spans="1:16" x14ac:dyDescent="0.2">
      <c r="A793" t="s">
        <v>786</v>
      </c>
      <c r="B793" t="s">
        <v>18</v>
      </c>
      <c r="C793">
        <v>4</v>
      </c>
      <c r="D793">
        <v>3</v>
      </c>
      <c r="E793" t="s">
        <v>21</v>
      </c>
      <c r="F793">
        <v>141.46</v>
      </c>
      <c r="G793">
        <v>58</v>
      </c>
      <c r="H793" t="s">
        <v>14</v>
      </c>
      <c r="I793" t="s">
        <v>21</v>
      </c>
      <c r="J793" t="s">
        <v>15</v>
      </c>
      <c r="K793">
        <v>141.46</v>
      </c>
      <c r="L793" t="s">
        <v>16</v>
      </c>
      <c r="M793" t="s">
        <v>16</v>
      </c>
      <c r="N793" t="s">
        <v>923</v>
      </c>
      <c r="O793">
        <f>_xlfn.XLOOKUP(customer_satisfaction_cleaned[[#This Row],[Product Category]],Table2[Product Category],Table2[Delivery SLA (Days)],"NA",0)</f>
        <v>10</v>
      </c>
      <c r="P7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4" spans="1:16" x14ac:dyDescent="0.2">
      <c r="A794" t="s">
        <v>787</v>
      </c>
      <c r="B794" t="s">
        <v>18</v>
      </c>
      <c r="C794">
        <v>10</v>
      </c>
      <c r="D794">
        <v>5</v>
      </c>
      <c r="E794" t="s">
        <v>13</v>
      </c>
      <c r="F794">
        <v>113.74</v>
      </c>
      <c r="G794">
        <v>45</v>
      </c>
      <c r="H794" t="s">
        <v>29</v>
      </c>
      <c r="I794" t="s">
        <v>13</v>
      </c>
      <c r="J794" t="s">
        <v>25</v>
      </c>
      <c r="K794">
        <v>113.74</v>
      </c>
      <c r="L794" t="s">
        <v>16</v>
      </c>
      <c r="M794" t="s">
        <v>16</v>
      </c>
      <c r="N794" t="s">
        <v>923</v>
      </c>
      <c r="O794">
        <f>_xlfn.XLOOKUP(customer_satisfaction_cleaned[[#This Row],[Product Category]],Table2[Product Category],Table2[Delivery SLA (Days)],"NA",0)</f>
        <v>10</v>
      </c>
      <c r="P7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5" spans="1:16" x14ac:dyDescent="0.2">
      <c r="A795" t="s">
        <v>788</v>
      </c>
      <c r="B795" t="s">
        <v>18</v>
      </c>
      <c r="C795">
        <v>7</v>
      </c>
      <c r="D795">
        <v>5</v>
      </c>
      <c r="E795" t="s">
        <v>21</v>
      </c>
      <c r="F795">
        <v>112.63</v>
      </c>
      <c r="G795">
        <v>21</v>
      </c>
      <c r="H795" t="s">
        <v>24</v>
      </c>
      <c r="I795" t="s">
        <v>21</v>
      </c>
      <c r="J795" t="s">
        <v>25</v>
      </c>
      <c r="K795">
        <v>112.63</v>
      </c>
      <c r="L795" t="s">
        <v>16</v>
      </c>
      <c r="M795" t="s">
        <v>16</v>
      </c>
      <c r="N795" t="s">
        <v>924</v>
      </c>
      <c r="O795">
        <f>_xlfn.XLOOKUP(customer_satisfaction_cleaned[[#This Row],[Product Category]],Table2[Product Category],Table2[Delivery SLA (Days)],"NA",0)</f>
        <v>10</v>
      </c>
      <c r="P7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6" spans="1:16" x14ac:dyDescent="0.2">
      <c r="A796" t="s">
        <v>789</v>
      </c>
      <c r="B796" t="s">
        <v>23</v>
      </c>
      <c r="C796">
        <v>8</v>
      </c>
      <c r="D796">
        <v>4</v>
      </c>
      <c r="E796" t="s">
        <v>13</v>
      </c>
      <c r="F796">
        <v>171.47</v>
      </c>
      <c r="G796">
        <v>48</v>
      </c>
      <c r="H796" t="s">
        <v>44</v>
      </c>
      <c r="I796" t="s">
        <v>13</v>
      </c>
      <c r="J796" t="s">
        <v>20</v>
      </c>
      <c r="K796">
        <v>171.47</v>
      </c>
      <c r="L796" t="s">
        <v>16</v>
      </c>
      <c r="M796" t="s">
        <v>16</v>
      </c>
      <c r="N796" t="s">
        <v>923</v>
      </c>
      <c r="O796">
        <f>_xlfn.XLOOKUP(customer_satisfaction_cleaned[[#This Row],[Product Category]],Table2[Product Category],Table2[Delivery SLA (Days)],"NA",0)</f>
        <v>7</v>
      </c>
      <c r="P7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7" spans="1:16" x14ac:dyDescent="0.2">
      <c r="A797" t="s">
        <v>790</v>
      </c>
      <c r="B797" t="s">
        <v>23</v>
      </c>
      <c r="C797">
        <v>6</v>
      </c>
      <c r="D797">
        <v>5</v>
      </c>
      <c r="E797" t="s">
        <v>21</v>
      </c>
      <c r="F797">
        <v>191.38</v>
      </c>
      <c r="G797">
        <v>41</v>
      </c>
      <c r="H797" t="s">
        <v>29</v>
      </c>
      <c r="I797" t="s">
        <v>21</v>
      </c>
      <c r="J797" t="s">
        <v>25</v>
      </c>
      <c r="K797">
        <v>191.38</v>
      </c>
      <c r="L797" t="s">
        <v>16</v>
      </c>
      <c r="M797" t="s">
        <v>16</v>
      </c>
      <c r="N797" t="s">
        <v>923</v>
      </c>
      <c r="O797">
        <f>_xlfn.XLOOKUP(customer_satisfaction_cleaned[[#This Row],[Product Category]],Table2[Product Category],Table2[Delivery SLA (Days)],"NA",0)</f>
        <v>7</v>
      </c>
      <c r="P7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8" spans="1:16" x14ac:dyDescent="0.2">
      <c r="A798" t="s">
        <v>791</v>
      </c>
      <c r="B798" t="s">
        <v>12</v>
      </c>
      <c r="C798">
        <v>9</v>
      </c>
      <c r="D798">
        <v>7</v>
      </c>
      <c r="E798" t="s">
        <v>29</v>
      </c>
      <c r="F798">
        <v>133.87</v>
      </c>
      <c r="G798">
        <v>39</v>
      </c>
      <c r="H798" t="s">
        <v>44</v>
      </c>
      <c r="I798" t="s">
        <v>25</v>
      </c>
      <c r="J798" t="s">
        <v>20</v>
      </c>
      <c r="K798">
        <v>133.87</v>
      </c>
      <c r="L798" t="s">
        <v>16</v>
      </c>
      <c r="M798" t="s">
        <v>16</v>
      </c>
      <c r="N798" t="s">
        <v>923</v>
      </c>
      <c r="O798">
        <f>_xlfn.XLOOKUP(customer_satisfaction_cleaned[[#This Row],[Product Category]],Table2[Product Category],Table2[Delivery SLA (Days)],"NA",0)</f>
        <v>5</v>
      </c>
      <c r="P7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99" spans="1:16" x14ac:dyDescent="0.2">
      <c r="A799" t="s">
        <v>17</v>
      </c>
      <c r="B799" t="s">
        <v>18</v>
      </c>
      <c r="C799">
        <v>6</v>
      </c>
      <c r="D799">
        <v>4</v>
      </c>
      <c r="E799" t="s">
        <v>19</v>
      </c>
      <c r="F799">
        <v>114.43</v>
      </c>
      <c r="G799">
        <v>53</v>
      </c>
      <c r="H799" t="s">
        <v>15</v>
      </c>
      <c r="I799" t="s">
        <v>21</v>
      </c>
      <c r="J799" t="s">
        <v>15</v>
      </c>
      <c r="K799">
        <v>114.43</v>
      </c>
      <c r="L799" t="s">
        <v>16</v>
      </c>
      <c r="M799" t="s">
        <v>16</v>
      </c>
      <c r="N799" t="s">
        <v>923</v>
      </c>
      <c r="O799">
        <f>_xlfn.XLOOKUP(customer_satisfaction_cleaned[[#This Row],[Product Category]],Table2[Product Category],Table2[Delivery SLA (Days)],"NA",0)</f>
        <v>10</v>
      </c>
      <c r="P7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0" spans="1:16" x14ac:dyDescent="0.2">
      <c r="A800" t="s">
        <v>17</v>
      </c>
      <c r="B800" t="s">
        <v>12</v>
      </c>
      <c r="C800">
        <v>10</v>
      </c>
      <c r="D800">
        <v>7</v>
      </c>
      <c r="E800" t="s">
        <v>32</v>
      </c>
      <c r="F800">
        <v>77.34</v>
      </c>
      <c r="G800">
        <v>32</v>
      </c>
      <c r="H800" t="s">
        <v>24</v>
      </c>
      <c r="I800" t="s">
        <v>13</v>
      </c>
      <c r="J800" t="s">
        <v>25</v>
      </c>
      <c r="K800">
        <v>77.34</v>
      </c>
      <c r="L800" t="s">
        <v>16</v>
      </c>
      <c r="M800" t="s">
        <v>16</v>
      </c>
      <c r="N800" t="s">
        <v>923</v>
      </c>
      <c r="O800">
        <f>_xlfn.XLOOKUP(customer_satisfaction_cleaned[[#This Row],[Product Category]],Table2[Product Category],Table2[Delivery SLA (Days)],"NA",0)</f>
        <v>5</v>
      </c>
      <c r="P8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01" spans="1:16" x14ac:dyDescent="0.2">
      <c r="A801" t="s">
        <v>792</v>
      </c>
      <c r="B801" t="s">
        <v>18</v>
      </c>
      <c r="C801">
        <v>10</v>
      </c>
      <c r="D801">
        <v>5</v>
      </c>
      <c r="E801" t="s">
        <v>34</v>
      </c>
      <c r="F801">
        <v>89.33</v>
      </c>
      <c r="G801">
        <v>33</v>
      </c>
      <c r="H801" t="s">
        <v>14</v>
      </c>
      <c r="I801" t="s">
        <v>25</v>
      </c>
      <c r="J801" t="s">
        <v>15</v>
      </c>
      <c r="K801">
        <v>89.33</v>
      </c>
      <c r="L801" t="s">
        <v>16</v>
      </c>
      <c r="M801" t="s">
        <v>16</v>
      </c>
      <c r="N801" t="s">
        <v>923</v>
      </c>
      <c r="O801">
        <f>_xlfn.XLOOKUP(customer_satisfaction_cleaned[[#This Row],[Product Category]],Table2[Product Category],Table2[Delivery SLA (Days)],"NA",0)</f>
        <v>10</v>
      </c>
      <c r="P8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2" spans="1:16" x14ac:dyDescent="0.2">
      <c r="A802" t="s">
        <v>793</v>
      </c>
      <c r="B802" t="s">
        <v>18</v>
      </c>
      <c r="C802">
        <v>8</v>
      </c>
      <c r="D802">
        <v>5</v>
      </c>
      <c r="E802" t="s">
        <v>13</v>
      </c>
      <c r="F802">
        <v>24.59</v>
      </c>
      <c r="G802">
        <v>44</v>
      </c>
      <c r="H802" t="s">
        <v>34</v>
      </c>
      <c r="I802" t="s">
        <v>13</v>
      </c>
      <c r="J802" t="s">
        <v>25</v>
      </c>
      <c r="K802">
        <v>24.59</v>
      </c>
      <c r="L802" t="s">
        <v>16</v>
      </c>
      <c r="M802" t="s">
        <v>16</v>
      </c>
      <c r="N802" t="s">
        <v>923</v>
      </c>
      <c r="O802">
        <f>_xlfn.XLOOKUP(customer_satisfaction_cleaned[[#This Row],[Product Category]],Table2[Product Category],Table2[Delivery SLA (Days)],"NA",0)</f>
        <v>10</v>
      </c>
      <c r="P8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3" spans="1:16" x14ac:dyDescent="0.2">
      <c r="A803" t="s">
        <v>794</v>
      </c>
      <c r="B803" t="s">
        <v>18</v>
      </c>
      <c r="C803">
        <v>7</v>
      </c>
      <c r="D803">
        <v>7</v>
      </c>
      <c r="E803" t="s">
        <v>32</v>
      </c>
      <c r="F803">
        <v>74.81</v>
      </c>
      <c r="G803">
        <v>30</v>
      </c>
      <c r="H803" t="s">
        <v>42</v>
      </c>
      <c r="I803" t="s">
        <v>13</v>
      </c>
      <c r="J803" t="s">
        <v>25</v>
      </c>
      <c r="K803">
        <v>74.81</v>
      </c>
      <c r="L803" t="s">
        <v>16</v>
      </c>
      <c r="M803" t="s">
        <v>16</v>
      </c>
      <c r="N803" t="s">
        <v>923</v>
      </c>
      <c r="O803">
        <f>_xlfn.XLOOKUP(customer_satisfaction_cleaned[[#This Row],[Product Category]],Table2[Product Category],Table2[Delivery SLA (Days)],"NA",0)</f>
        <v>10</v>
      </c>
      <c r="P8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4" spans="1:16" x14ac:dyDescent="0.2">
      <c r="A804" t="s">
        <v>795</v>
      </c>
      <c r="B804" t="s">
        <v>23</v>
      </c>
      <c r="C804">
        <v>6</v>
      </c>
      <c r="D804">
        <v>-1</v>
      </c>
      <c r="E804" t="s">
        <v>21</v>
      </c>
      <c r="F804">
        <v>128.84</v>
      </c>
      <c r="G804">
        <v>5</v>
      </c>
      <c r="H804" t="s">
        <v>29</v>
      </c>
      <c r="I804" t="s">
        <v>21</v>
      </c>
      <c r="J804" t="s">
        <v>25</v>
      </c>
      <c r="K804">
        <v>128.84</v>
      </c>
      <c r="L804" t="s">
        <v>16</v>
      </c>
      <c r="M804" t="s">
        <v>133</v>
      </c>
      <c r="N804" t="s">
        <v>926</v>
      </c>
      <c r="O804">
        <f>_xlfn.XLOOKUP(customer_satisfaction_cleaned[[#This Row],[Product Category]],Table2[Product Category],Table2[Delivery SLA (Days)],"NA",0)</f>
        <v>7</v>
      </c>
      <c r="P8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5" spans="1:16" x14ac:dyDescent="0.2">
      <c r="A805" t="s">
        <v>796</v>
      </c>
      <c r="B805" t="s">
        <v>23</v>
      </c>
      <c r="C805">
        <v>6</v>
      </c>
      <c r="D805">
        <v>4</v>
      </c>
      <c r="E805" t="s">
        <v>29</v>
      </c>
      <c r="F805">
        <v>123.94</v>
      </c>
      <c r="G805">
        <v>19</v>
      </c>
      <c r="H805" t="s">
        <v>20</v>
      </c>
      <c r="I805" t="s">
        <v>25</v>
      </c>
      <c r="J805" t="s">
        <v>20</v>
      </c>
      <c r="K805">
        <v>123.94</v>
      </c>
      <c r="L805" t="s">
        <v>16</v>
      </c>
      <c r="M805" t="s">
        <v>16</v>
      </c>
      <c r="N805" t="s">
        <v>924</v>
      </c>
      <c r="O805">
        <f>_xlfn.XLOOKUP(customer_satisfaction_cleaned[[#This Row],[Product Category]],Table2[Product Category],Table2[Delivery SLA (Days)],"NA",0)</f>
        <v>7</v>
      </c>
      <c r="P8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6" spans="1:16" x14ac:dyDescent="0.2">
      <c r="A806" t="s">
        <v>797</v>
      </c>
      <c r="B806" t="s">
        <v>12</v>
      </c>
      <c r="C806">
        <v>7</v>
      </c>
      <c r="D806">
        <v>3</v>
      </c>
      <c r="E806" t="s">
        <v>13</v>
      </c>
      <c r="F806">
        <v>107.45</v>
      </c>
      <c r="G806">
        <v>14</v>
      </c>
      <c r="H806" t="s">
        <v>42</v>
      </c>
      <c r="I806" t="s">
        <v>13</v>
      </c>
      <c r="J806" t="s">
        <v>25</v>
      </c>
      <c r="K806">
        <v>107.45</v>
      </c>
      <c r="L806" t="s">
        <v>16</v>
      </c>
      <c r="M806" t="s">
        <v>16</v>
      </c>
      <c r="N806" t="s">
        <v>926</v>
      </c>
      <c r="O806">
        <f>_xlfn.XLOOKUP(customer_satisfaction_cleaned[[#This Row],[Product Category]],Table2[Product Category],Table2[Delivery SLA (Days)],"NA",0)</f>
        <v>5</v>
      </c>
      <c r="P8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7" spans="1:16" x14ac:dyDescent="0.2">
      <c r="A807" t="s">
        <v>798</v>
      </c>
      <c r="B807" t="s">
        <v>23</v>
      </c>
      <c r="C807">
        <v>6</v>
      </c>
      <c r="D807">
        <v>-1</v>
      </c>
      <c r="E807" t="s">
        <v>21</v>
      </c>
      <c r="F807">
        <v>83.57</v>
      </c>
      <c r="G807">
        <v>31</v>
      </c>
      <c r="H807" t="s">
        <v>20</v>
      </c>
      <c r="I807" t="s">
        <v>21</v>
      </c>
      <c r="J807" t="s">
        <v>20</v>
      </c>
      <c r="K807">
        <v>83.57</v>
      </c>
      <c r="L807" t="s">
        <v>16</v>
      </c>
      <c r="M807" t="s">
        <v>133</v>
      </c>
      <c r="N807" t="s">
        <v>923</v>
      </c>
      <c r="O807">
        <f>_xlfn.XLOOKUP(customer_satisfaction_cleaned[[#This Row],[Product Category]],Table2[Product Category],Table2[Delivery SLA (Days)],"NA",0)</f>
        <v>7</v>
      </c>
      <c r="P8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8" spans="1:16" x14ac:dyDescent="0.2">
      <c r="A808" t="s">
        <v>17</v>
      </c>
      <c r="B808" t="s">
        <v>23</v>
      </c>
      <c r="C808">
        <v>11</v>
      </c>
      <c r="D808">
        <v>8</v>
      </c>
      <c r="E808" t="s">
        <v>21</v>
      </c>
      <c r="F808">
        <v>69.5</v>
      </c>
      <c r="G808">
        <v>0</v>
      </c>
      <c r="H808" t="s">
        <v>15</v>
      </c>
      <c r="I808" t="s">
        <v>21</v>
      </c>
      <c r="J808" t="s">
        <v>15</v>
      </c>
      <c r="K808">
        <v>69.5</v>
      </c>
      <c r="L808" t="s">
        <v>16</v>
      </c>
      <c r="M808" t="s">
        <v>16</v>
      </c>
      <c r="N808" t="s">
        <v>926</v>
      </c>
      <c r="O808">
        <f>_xlfn.XLOOKUP(customer_satisfaction_cleaned[[#This Row],[Product Category]],Table2[Product Category],Table2[Delivery SLA (Days)],"NA",0)</f>
        <v>7</v>
      </c>
      <c r="P8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09" spans="1:16" x14ac:dyDescent="0.2">
      <c r="A809" t="s">
        <v>799</v>
      </c>
      <c r="B809" t="s">
        <v>47</v>
      </c>
      <c r="C809">
        <v>9</v>
      </c>
      <c r="D809">
        <v>3</v>
      </c>
      <c r="E809" t="s">
        <v>34</v>
      </c>
      <c r="F809">
        <v>60.51</v>
      </c>
      <c r="G809">
        <v>22</v>
      </c>
      <c r="H809" t="s">
        <v>42</v>
      </c>
      <c r="I809" t="s">
        <v>25</v>
      </c>
      <c r="J809" t="s">
        <v>25</v>
      </c>
      <c r="K809">
        <v>60.51</v>
      </c>
      <c r="L809" t="s">
        <v>16</v>
      </c>
      <c r="M809" t="s">
        <v>16</v>
      </c>
      <c r="N809" t="s">
        <v>924</v>
      </c>
      <c r="O809">
        <f>_xlfn.XLOOKUP(customer_satisfaction_cleaned[[#This Row],[Product Category]],Table2[Product Category],Table2[Delivery SLA (Days)],"NA",0)</f>
        <v>7</v>
      </c>
      <c r="P8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0" spans="1:16" x14ac:dyDescent="0.2">
      <c r="A810" t="s">
        <v>800</v>
      </c>
      <c r="B810" t="s">
        <v>18</v>
      </c>
      <c r="C810">
        <v>8</v>
      </c>
      <c r="D810">
        <v>3</v>
      </c>
      <c r="E810" t="s">
        <v>21</v>
      </c>
      <c r="F810">
        <v>170.51</v>
      </c>
      <c r="G810">
        <v>23</v>
      </c>
      <c r="H810" t="s">
        <v>42</v>
      </c>
      <c r="I810" t="s">
        <v>21</v>
      </c>
      <c r="J810" t="s">
        <v>25</v>
      </c>
      <c r="K810">
        <v>170.51</v>
      </c>
      <c r="L810" t="s">
        <v>16</v>
      </c>
      <c r="M810" t="s">
        <v>16</v>
      </c>
      <c r="N810" t="s">
        <v>924</v>
      </c>
      <c r="O810">
        <f>_xlfn.XLOOKUP(customer_satisfaction_cleaned[[#This Row],[Product Category]],Table2[Product Category],Table2[Delivery SLA (Days)],"NA",0)</f>
        <v>10</v>
      </c>
      <c r="P8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1" spans="1:16" x14ac:dyDescent="0.2">
      <c r="A811" t="s">
        <v>801</v>
      </c>
      <c r="B811" t="s">
        <v>12</v>
      </c>
      <c r="D811">
        <v>6</v>
      </c>
      <c r="E811" t="s">
        <v>29</v>
      </c>
      <c r="F811">
        <v>83.6</v>
      </c>
      <c r="G811">
        <v>39</v>
      </c>
      <c r="H811" t="s">
        <v>42</v>
      </c>
      <c r="I811" t="s">
        <v>25</v>
      </c>
      <c r="J811" t="s">
        <v>25</v>
      </c>
      <c r="K811">
        <v>83.6</v>
      </c>
      <c r="L811" t="s">
        <v>936</v>
      </c>
      <c r="M811" t="s">
        <v>16</v>
      </c>
      <c r="N811" t="s">
        <v>923</v>
      </c>
      <c r="O811">
        <f>_xlfn.XLOOKUP(customer_satisfaction_cleaned[[#This Row],[Product Category]],Table2[Product Category],Table2[Delivery SLA (Days)],"NA",0)</f>
        <v>5</v>
      </c>
      <c r="P8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12" spans="1:16" x14ac:dyDescent="0.2">
      <c r="A812" t="s">
        <v>802</v>
      </c>
      <c r="B812" t="s">
        <v>12</v>
      </c>
      <c r="C812">
        <v>9</v>
      </c>
      <c r="D812">
        <v>7</v>
      </c>
      <c r="E812" t="s">
        <v>19</v>
      </c>
      <c r="F812">
        <v>213.92</v>
      </c>
      <c r="G812">
        <v>46</v>
      </c>
      <c r="H812" t="s">
        <v>20</v>
      </c>
      <c r="I812" t="s">
        <v>21</v>
      </c>
      <c r="J812" t="s">
        <v>20</v>
      </c>
      <c r="K812">
        <v>213.92</v>
      </c>
      <c r="L812" t="s">
        <v>16</v>
      </c>
      <c r="M812" t="s">
        <v>16</v>
      </c>
      <c r="N812" t="s">
        <v>923</v>
      </c>
      <c r="O812">
        <f>_xlfn.XLOOKUP(customer_satisfaction_cleaned[[#This Row],[Product Category]],Table2[Product Category],Table2[Delivery SLA (Days)],"NA",0)</f>
        <v>5</v>
      </c>
      <c r="P8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13" spans="1:16" x14ac:dyDescent="0.2">
      <c r="A813" t="s">
        <v>803</v>
      </c>
      <c r="B813" t="s">
        <v>12</v>
      </c>
      <c r="C813">
        <v>10</v>
      </c>
      <c r="D813">
        <v>7</v>
      </c>
      <c r="E813" t="s">
        <v>19</v>
      </c>
      <c r="F813">
        <v>17.23</v>
      </c>
      <c r="G813">
        <v>5</v>
      </c>
      <c r="H813" t="s">
        <v>29</v>
      </c>
      <c r="I813" t="s">
        <v>21</v>
      </c>
      <c r="J813" t="s">
        <v>25</v>
      </c>
      <c r="K813">
        <v>17.23</v>
      </c>
      <c r="L813" t="s">
        <v>16</v>
      </c>
      <c r="M813" t="s">
        <v>16</v>
      </c>
      <c r="N813" t="s">
        <v>926</v>
      </c>
      <c r="O813">
        <f>_xlfn.XLOOKUP(customer_satisfaction_cleaned[[#This Row],[Product Category]],Table2[Product Category],Table2[Delivery SLA (Days)],"NA",0)</f>
        <v>5</v>
      </c>
      <c r="P8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14" spans="1:16" x14ac:dyDescent="0.2">
      <c r="A814" t="s">
        <v>804</v>
      </c>
      <c r="B814" t="s">
        <v>12</v>
      </c>
      <c r="C814">
        <v>8</v>
      </c>
      <c r="D814">
        <v>7</v>
      </c>
      <c r="E814" t="s">
        <v>13</v>
      </c>
      <c r="F814">
        <v>76.61</v>
      </c>
      <c r="G814">
        <v>41</v>
      </c>
      <c r="H814" t="s">
        <v>14</v>
      </c>
      <c r="I814" t="s">
        <v>13</v>
      </c>
      <c r="J814" t="s">
        <v>15</v>
      </c>
      <c r="K814">
        <v>76.61</v>
      </c>
      <c r="L814" t="s">
        <v>16</v>
      </c>
      <c r="M814" t="s">
        <v>16</v>
      </c>
      <c r="N814" t="s">
        <v>923</v>
      </c>
      <c r="O814">
        <f>_xlfn.XLOOKUP(customer_satisfaction_cleaned[[#This Row],[Product Category]],Table2[Product Category],Table2[Delivery SLA (Days)],"NA",0)</f>
        <v>5</v>
      </c>
      <c r="P8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15" spans="1:16" x14ac:dyDescent="0.2">
      <c r="A815" t="s">
        <v>805</v>
      </c>
      <c r="B815" t="s">
        <v>23</v>
      </c>
      <c r="C815">
        <v>6</v>
      </c>
      <c r="D815">
        <v>3</v>
      </c>
      <c r="E815" t="s">
        <v>13</v>
      </c>
      <c r="F815">
        <v>110.9</v>
      </c>
      <c r="G815">
        <v>45</v>
      </c>
      <c r="H815" t="s">
        <v>44</v>
      </c>
      <c r="I815" t="s">
        <v>13</v>
      </c>
      <c r="J815" t="s">
        <v>20</v>
      </c>
      <c r="K815">
        <v>110.9</v>
      </c>
      <c r="L815" t="s">
        <v>16</v>
      </c>
      <c r="M815" t="s">
        <v>16</v>
      </c>
      <c r="N815" t="s">
        <v>923</v>
      </c>
      <c r="O815">
        <f>_xlfn.XLOOKUP(customer_satisfaction_cleaned[[#This Row],[Product Category]],Table2[Product Category],Table2[Delivery SLA (Days)],"NA",0)</f>
        <v>7</v>
      </c>
      <c r="P8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6" spans="1:16" x14ac:dyDescent="0.2">
      <c r="A816" t="s">
        <v>806</v>
      </c>
      <c r="B816" t="s">
        <v>12</v>
      </c>
      <c r="C816">
        <v>7</v>
      </c>
      <c r="D816">
        <v>7</v>
      </c>
      <c r="E816" t="s">
        <v>13</v>
      </c>
      <c r="F816">
        <v>127.98</v>
      </c>
      <c r="G816">
        <v>47</v>
      </c>
      <c r="H816" t="s">
        <v>14</v>
      </c>
      <c r="I816" t="s">
        <v>13</v>
      </c>
      <c r="J816" t="s">
        <v>15</v>
      </c>
      <c r="K816">
        <v>127.98</v>
      </c>
      <c r="L816" t="s">
        <v>16</v>
      </c>
      <c r="M816" t="s">
        <v>16</v>
      </c>
      <c r="N816" t="s">
        <v>923</v>
      </c>
      <c r="O816">
        <f>_xlfn.XLOOKUP(customer_satisfaction_cleaned[[#This Row],[Product Category]],Table2[Product Category],Table2[Delivery SLA (Days)],"NA",0)</f>
        <v>5</v>
      </c>
      <c r="P8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17" spans="1:16" x14ac:dyDescent="0.2">
      <c r="A817" t="s">
        <v>807</v>
      </c>
      <c r="B817" t="s">
        <v>18</v>
      </c>
      <c r="C817">
        <v>7</v>
      </c>
      <c r="D817">
        <v>5</v>
      </c>
      <c r="E817" t="s">
        <v>34</v>
      </c>
      <c r="F817">
        <v>23.92</v>
      </c>
      <c r="G817">
        <v>32</v>
      </c>
      <c r="H817" t="s">
        <v>20</v>
      </c>
      <c r="I817" t="s">
        <v>25</v>
      </c>
      <c r="J817" t="s">
        <v>20</v>
      </c>
      <c r="K817">
        <v>23.92</v>
      </c>
      <c r="L817" t="s">
        <v>16</v>
      </c>
      <c r="M817" t="s">
        <v>16</v>
      </c>
      <c r="N817" t="s">
        <v>923</v>
      </c>
      <c r="O817">
        <f>_xlfn.XLOOKUP(customer_satisfaction_cleaned[[#This Row],[Product Category]],Table2[Product Category],Table2[Delivery SLA (Days)],"NA",0)</f>
        <v>10</v>
      </c>
      <c r="P8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8" spans="1:16" x14ac:dyDescent="0.2">
      <c r="A818" t="s">
        <v>808</v>
      </c>
      <c r="B818" t="s">
        <v>18</v>
      </c>
      <c r="C818">
        <v>7</v>
      </c>
      <c r="D818">
        <v>2</v>
      </c>
      <c r="E818" t="s">
        <v>13</v>
      </c>
      <c r="F818">
        <v>151.43</v>
      </c>
      <c r="G818">
        <v>27</v>
      </c>
      <c r="H818" t="s">
        <v>34</v>
      </c>
      <c r="I818" t="s">
        <v>13</v>
      </c>
      <c r="J818" t="s">
        <v>25</v>
      </c>
      <c r="K818">
        <v>151.43</v>
      </c>
      <c r="L818" t="s">
        <v>16</v>
      </c>
      <c r="M818" t="s">
        <v>16</v>
      </c>
      <c r="N818" t="s">
        <v>924</v>
      </c>
      <c r="O818">
        <f>_xlfn.XLOOKUP(customer_satisfaction_cleaned[[#This Row],[Product Category]],Table2[Product Category],Table2[Delivery SLA (Days)],"NA",0)</f>
        <v>10</v>
      </c>
      <c r="P8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9" spans="1:16" x14ac:dyDescent="0.2">
      <c r="A819" t="s">
        <v>809</v>
      </c>
      <c r="B819" t="s">
        <v>47</v>
      </c>
      <c r="C819">
        <v>8</v>
      </c>
      <c r="D819">
        <v>2</v>
      </c>
      <c r="E819" t="s">
        <v>21</v>
      </c>
      <c r="F819">
        <v>151.49</v>
      </c>
      <c r="G819">
        <v>20</v>
      </c>
      <c r="H819" t="s">
        <v>15</v>
      </c>
      <c r="I819" t="s">
        <v>21</v>
      </c>
      <c r="J819" t="s">
        <v>15</v>
      </c>
      <c r="K819">
        <v>151.49</v>
      </c>
      <c r="L819" t="s">
        <v>16</v>
      </c>
      <c r="M819" t="s">
        <v>16</v>
      </c>
      <c r="N819" t="s">
        <v>924</v>
      </c>
      <c r="O819">
        <f>_xlfn.XLOOKUP(customer_satisfaction_cleaned[[#This Row],[Product Category]],Table2[Product Category],Table2[Delivery SLA (Days)],"NA",0)</f>
        <v>7</v>
      </c>
      <c r="P8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0" spans="1:16" x14ac:dyDescent="0.2">
      <c r="A820" t="s">
        <v>810</v>
      </c>
      <c r="B820" t="s">
        <v>12</v>
      </c>
      <c r="C820">
        <v>9</v>
      </c>
      <c r="D820">
        <v>5</v>
      </c>
      <c r="E820" t="s">
        <v>32</v>
      </c>
      <c r="F820">
        <v>65.88</v>
      </c>
      <c r="G820">
        <v>26</v>
      </c>
      <c r="H820" t="s">
        <v>14</v>
      </c>
      <c r="I820" t="s">
        <v>13</v>
      </c>
      <c r="J820" t="s">
        <v>15</v>
      </c>
      <c r="K820">
        <v>65.88</v>
      </c>
      <c r="L820" t="s">
        <v>16</v>
      </c>
      <c r="M820" t="s">
        <v>16</v>
      </c>
      <c r="N820" t="s">
        <v>924</v>
      </c>
      <c r="O820">
        <f>_xlfn.XLOOKUP(customer_satisfaction_cleaned[[#This Row],[Product Category]],Table2[Product Category],Table2[Delivery SLA (Days)],"NA",0)</f>
        <v>5</v>
      </c>
      <c r="P8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1" spans="1:16" x14ac:dyDescent="0.2">
      <c r="A821" t="s">
        <v>811</v>
      </c>
      <c r="B821" t="s">
        <v>12</v>
      </c>
      <c r="C821">
        <v>7</v>
      </c>
      <c r="D821">
        <v>6</v>
      </c>
      <c r="E821" t="s">
        <v>29</v>
      </c>
      <c r="F821">
        <v>163.07</v>
      </c>
      <c r="G821">
        <v>17</v>
      </c>
      <c r="H821" t="s">
        <v>14</v>
      </c>
      <c r="I821" t="s">
        <v>25</v>
      </c>
      <c r="J821" t="s">
        <v>15</v>
      </c>
      <c r="K821">
        <v>163.07</v>
      </c>
      <c r="L821" t="s">
        <v>16</v>
      </c>
      <c r="M821" t="s">
        <v>16</v>
      </c>
      <c r="N821" t="s">
        <v>924</v>
      </c>
      <c r="O821">
        <f>_xlfn.XLOOKUP(customer_satisfaction_cleaned[[#This Row],[Product Category]],Table2[Product Category],Table2[Delivery SLA (Days)],"NA",0)</f>
        <v>5</v>
      </c>
      <c r="P8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22" spans="1:16" x14ac:dyDescent="0.2">
      <c r="A822" t="s">
        <v>812</v>
      </c>
      <c r="B822" t="s">
        <v>23</v>
      </c>
      <c r="C822">
        <v>6</v>
      </c>
      <c r="D822">
        <v>6</v>
      </c>
      <c r="E822" t="s">
        <v>19</v>
      </c>
      <c r="F822">
        <v>117.68</v>
      </c>
      <c r="G822">
        <v>27</v>
      </c>
      <c r="H822" t="s">
        <v>34</v>
      </c>
      <c r="I822" t="s">
        <v>21</v>
      </c>
      <c r="J822" t="s">
        <v>25</v>
      </c>
      <c r="K822">
        <v>117.68</v>
      </c>
      <c r="L822" t="s">
        <v>16</v>
      </c>
      <c r="M822" t="s">
        <v>16</v>
      </c>
      <c r="N822" t="s">
        <v>924</v>
      </c>
      <c r="O822">
        <f>_xlfn.XLOOKUP(customer_satisfaction_cleaned[[#This Row],[Product Category]],Table2[Product Category],Table2[Delivery SLA (Days)],"NA",0)</f>
        <v>7</v>
      </c>
      <c r="P8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3" spans="1:16" x14ac:dyDescent="0.2">
      <c r="A823" t="s">
        <v>813</v>
      </c>
      <c r="B823" t="s">
        <v>12</v>
      </c>
      <c r="C823">
        <v>5</v>
      </c>
      <c r="D823">
        <v>4</v>
      </c>
      <c r="E823" t="s">
        <v>21</v>
      </c>
      <c r="F823">
        <v>149.97</v>
      </c>
      <c r="G823">
        <v>28</v>
      </c>
      <c r="H823" t="s">
        <v>29</v>
      </c>
      <c r="I823" t="s">
        <v>21</v>
      </c>
      <c r="J823" t="s">
        <v>25</v>
      </c>
      <c r="K823">
        <v>149.97</v>
      </c>
      <c r="L823" t="s">
        <v>16</v>
      </c>
      <c r="M823" t="s">
        <v>16</v>
      </c>
      <c r="N823" t="s">
        <v>924</v>
      </c>
      <c r="O823">
        <f>_xlfn.XLOOKUP(customer_satisfaction_cleaned[[#This Row],[Product Category]],Table2[Product Category],Table2[Delivery SLA (Days)],"NA",0)</f>
        <v>5</v>
      </c>
      <c r="P8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4" spans="1:16" x14ac:dyDescent="0.2">
      <c r="A824" t="s">
        <v>814</v>
      </c>
      <c r="B824" t="s">
        <v>12</v>
      </c>
      <c r="C824">
        <v>12</v>
      </c>
      <c r="D824">
        <v>3</v>
      </c>
      <c r="E824" t="s">
        <v>13</v>
      </c>
      <c r="F824">
        <v>87.99</v>
      </c>
      <c r="G824">
        <v>19</v>
      </c>
      <c r="H824" t="s">
        <v>15</v>
      </c>
      <c r="I824" t="s">
        <v>13</v>
      </c>
      <c r="J824" t="s">
        <v>15</v>
      </c>
      <c r="K824">
        <v>87.99</v>
      </c>
      <c r="L824" t="s">
        <v>16</v>
      </c>
      <c r="M824" t="s">
        <v>16</v>
      </c>
      <c r="N824" t="s">
        <v>924</v>
      </c>
      <c r="O824">
        <f>_xlfn.XLOOKUP(customer_satisfaction_cleaned[[#This Row],[Product Category]],Table2[Product Category],Table2[Delivery SLA (Days)],"NA",0)</f>
        <v>5</v>
      </c>
      <c r="P8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5" spans="1:16" x14ac:dyDescent="0.2">
      <c r="A825" t="s">
        <v>815</v>
      </c>
      <c r="B825" t="s">
        <v>18</v>
      </c>
      <c r="C825">
        <v>9</v>
      </c>
      <c r="E825" t="s">
        <v>19</v>
      </c>
      <c r="F825">
        <v>105.56</v>
      </c>
      <c r="G825">
        <v>59</v>
      </c>
      <c r="H825" t="s">
        <v>24</v>
      </c>
      <c r="I825" t="s">
        <v>21</v>
      </c>
      <c r="J825" t="s">
        <v>25</v>
      </c>
      <c r="K825">
        <v>105.56</v>
      </c>
      <c r="L825" t="s">
        <v>16</v>
      </c>
      <c r="M825" t="s">
        <v>937</v>
      </c>
      <c r="N825" t="s">
        <v>923</v>
      </c>
      <c r="O825">
        <f>_xlfn.XLOOKUP(customer_satisfaction_cleaned[[#This Row],[Product Category]],Table2[Product Category],Table2[Delivery SLA (Days)],"NA",0)</f>
        <v>10</v>
      </c>
      <c r="P8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26" spans="1:16" x14ac:dyDescent="0.2">
      <c r="A826" t="s">
        <v>816</v>
      </c>
      <c r="B826" t="s">
        <v>23</v>
      </c>
      <c r="C826">
        <v>11</v>
      </c>
      <c r="D826">
        <v>3</v>
      </c>
      <c r="E826" t="s">
        <v>32</v>
      </c>
      <c r="F826">
        <v>17794</v>
      </c>
      <c r="G826">
        <v>29</v>
      </c>
      <c r="H826" t="s">
        <v>24</v>
      </c>
      <c r="I826" t="s">
        <v>13</v>
      </c>
      <c r="J826" t="s">
        <v>25</v>
      </c>
      <c r="K826">
        <v>17794</v>
      </c>
      <c r="L826" t="s">
        <v>16</v>
      </c>
      <c r="M826" t="s">
        <v>16</v>
      </c>
      <c r="N826" t="s">
        <v>924</v>
      </c>
      <c r="O826">
        <f>_xlfn.XLOOKUP(customer_satisfaction_cleaned[[#This Row],[Product Category]],Table2[Product Category],Table2[Delivery SLA (Days)],"NA",0)</f>
        <v>7</v>
      </c>
      <c r="P8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7" spans="1:16" x14ac:dyDescent="0.2">
      <c r="A827" t="s">
        <v>17</v>
      </c>
      <c r="B827" t="s">
        <v>18</v>
      </c>
      <c r="C827">
        <v>8</v>
      </c>
      <c r="D827">
        <v>7</v>
      </c>
      <c r="E827" t="s">
        <v>21</v>
      </c>
      <c r="F827">
        <v>60.78</v>
      </c>
      <c r="G827">
        <v>38</v>
      </c>
      <c r="H827" t="s">
        <v>42</v>
      </c>
      <c r="I827" t="s">
        <v>21</v>
      </c>
      <c r="J827" t="s">
        <v>25</v>
      </c>
      <c r="K827">
        <v>60.78</v>
      </c>
      <c r="L827" t="s">
        <v>16</v>
      </c>
      <c r="M827" t="s">
        <v>16</v>
      </c>
      <c r="N827" t="s">
        <v>923</v>
      </c>
      <c r="O827">
        <f>_xlfn.XLOOKUP(customer_satisfaction_cleaned[[#This Row],[Product Category]],Table2[Product Category],Table2[Delivery SLA (Days)],"NA",0)</f>
        <v>10</v>
      </c>
      <c r="P8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8" spans="1:16" x14ac:dyDescent="0.2">
      <c r="A828" t="s">
        <v>817</v>
      </c>
      <c r="B828" t="s">
        <v>47</v>
      </c>
      <c r="C828">
        <v>5</v>
      </c>
      <c r="D828">
        <v>6</v>
      </c>
      <c r="E828" t="s">
        <v>19</v>
      </c>
      <c r="F828">
        <v>60.41</v>
      </c>
      <c r="G828">
        <v>53</v>
      </c>
      <c r="H828" t="s">
        <v>14</v>
      </c>
      <c r="I828" t="s">
        <v>21</v>
      </c>
      <c r="J828" t="s">
        <v>15</v>
      </c>
      <c r="K828">
        <v>60.41</v>
      </c>
      <c r="L828" t="s">
        <v>16</v>
      </c>
      <c r="M828" t="s">
        <v>16</v>
      </c>
      <c r="N828" t="s">
        <v>923</v>
      </c>
      <c r="O828">
        <f>_xlfn.XLOOKUP(customer_satisfaction_cleaned[[#This Row],[Product Category]],Table2[Product Category],Table2[Delivery SLA (Days)],"NA",0)</f>
        <v>7</v>
      </c>
      <c r="P8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9" spans="1:16" x14ac:dyDescent="0.2">
      <c r="A829" t="s">
        <v>17</v>
      </c>
      <c r="B829" t="s">
        <v>18</v>
      </c>
      <c r="C829">
        <v>9</v>
      </c>
      <c r="D829">
        <v>4</v>
      </c>
      <c r="E829" t="s">
        <v>32</v>
      </c>
      <c r="F829">
        <v>199.49</v>
      </c>
      <c r="G829">
        <v>29</v>
      </c>
      <c r="H829" t="s">
        <v>42</v>
      </c>
      <c r="I829" t="s">
        <v>13</v>
      </c>
      <c r="J829" t="s">
        <v>25</v>
      </c>
      <c r="K829">
        <v>199.49</v>
      </c>
      <c r="L829" t="s">
        <v>16</v>
      </c>
      <c r="M829" t="s">
        <v>16</v>
      </c>
      <c r="N829" t="s">
        <v>924</v>
      </c>
      <c r="O829">
        <f>_xlfn.XLOOKUP(customer_satisfaction_cleaned[[#This Row],[Product Category]],Table2[Product Category],Table2[Delivery SLA (Days)],"NA",0)</f>
        <v>10</v>
      </c>
      <c r="P8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0" spans="1:16" x14ac:dyDescent="0.2">
      <c r="A830" t="s">
        <v>818</v>
      </c>
      <c r="B830" t="s">
        <v>47</v>
      </c>
      <c r="C830">
        <v>9</v>
      </c>
      <c r="D830">
        <v>0</v>
      </c>
      <c r="E830" t="s">
        <v>13</v>
      </c>
      <c r="F830">
        <v>100.71</v>
      </c>
      <c r="G830">
        <v>38</v>
      </c>
      <c r="H830" t="s">
        <v>44</v>
      </c>
      <c r="I830" t="s">
        <v>13</v>
      </c>
      <c r="J830" t="s">
        <v>20</v>
      </c>
      <c r="K830">
        <v>100.71</v>
      </c>
      <c r="L830" t="s">
        <v>16</v>
      </c>
      <c r="M830" t="s">
        <v>16</v>
      </c>
      <c r="N830" t="s">
        <v>923</v>
      </c>
      <c r="O830">
        <f>_xlfn.XLOOKUP(customer_satisfaction_cleaned[[#This Row],[Product Category]],Table2[Product Category],Table2[Delivery SLA (Days)],"NA",0)</f>
        <v>7</v>
      </c>
      <c r="P8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1" spans="1:16" x14ac:dyDescent="0.2">
      <c r="A831" t="s">
        <v>819</v>
      </c>
      <c r="B831" t="s">
        <v>36</v>
      </c>
      <c r="C831">
        <v>7</v>
      </c>
      <c r="D831">
        <v>1</v>
      </c>
      <c r="E831" t="s">
        <v>32</v>
      </c>
      <c r="F831">
        <v>29.54</v>
      </c>
      <c r="G831">
        <v>37</v>
      </c>
      <c r="H831" t="s">
        <v>29</v>
      </c>
      <c r="I831" t="s">
        <v>13</v>
      </c>
      <c r="J831" t="s">
        <v>25</v>
      </c>
      <c r="K831">
        <v>29.54</v>
      </c>
      <c r="L831" t="s">
        <v>16</v>
      </c>
      <c r="M831" t="s">
        <v>16</v>
      </c>
      <c r="N831" t="s">
        <v>923</v>
      </c>
      <c r="O831" t="str">
        <f>_xlfn.XLOOKUP(customer_satisfaction_cleaned[[#This Row],[Product Category]],Table2[Product Category],Table2[Delivery SLA (Days)],"NA",0)</f>
        <v>NA</v>
      </c>
      <c r="P8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32" spans="1:16" x14ac:dyDescent="0.2">
      <c r="A832" t="s">
        <v>820</v>
      </c>
      <c r="B832" t="s">
        <v>12</v>
      </c>
      <c r="C832">
        <v>8</v>
      </c>
      <c r="D832">
        <v>5</v>
      </c>
      <c r="E832" t="s">
        <v>13</v>
      </c>
      <c r="F832">
        <v>130.41</v>
      </c>
      <c r="G832">
        <v>11</v>
      </c>
      <c r="H832" t="s">
        <v>42</v>
      </c>
      <c r="I832" t="s">
        <v>13</v>
      </c>
      <c r="J832" t="s">
        <v>25</v>
      </c>
      <c r="K832">
        <v>130.41</v>
      </c>
      <c r="L832" t="s">
        <v>16</v>
      </c>
      <c r="M832" t="s">
        <v>16</v>
      </c>
      <c r="N832" t="s">
        <v>926</v>
      </c>
      <c r="O832">
        <f>_xlfn.XLOOKUP(customer_satisfaction_cleaned[[#This Row],[Product Category]],Table2[Product Category],Table2[Delivery SLA (Days)],"NA",0)</f>
        <v>5</v>
      </c>
      <c r="P8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3" spans="1:16" x14ac:dyDescent="0.2">
      <c r="A833" t="s">
        <v>821</v>
      </c>
      <c r="B833" t="s">
        <v>18</v>
      </c>
      <c r="C833">
        <v>6</v>
      </c>
      <c r="D833">
        <v>1</v>
      </c>
      <c r="E833" t="s">
        <v>32</v>
      </c>
      <c r="F833">
        <v>83.83</v>
      </c>
      <c r="G833">
        <v>29</v>
      </c>
      <c r="H833" t="s">
        <v>14</v>
      </c>
      <c r="I833" t="s">
        <v>13</v>
      </c>
      <c r="J833" t="s">
        <v>15</v>
      </c>
      <c r="K833">
        <v>83.83</v>
      </c>
      <c r="L833" t="s">
        <v>16</v>
      </c>
      <c r="M833" t="s">
        <v>16</v>
      </c>
      <c r="N833" t="s">
        <v>924</v>
      </c>
      <c r="O833">
        <f>_xlfn.XLOOKUP(customer_satisfaction_cleaned[[#This Row],[Product Category]],Table2[Product Category],Table2[Delivery SLA (Days)],"NA",0)</f>
        <v>10</v>
      </c>
      <c r="P8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4" spans="1:16" x14ac:dyDescent="0.2">
      <c r="A834" t="s">
        <v>822</v>
      </c>
      <c r="B834" t="s">
        <v>12</v>
      </c>
      <c r="C834">
        <v>7</v>
      </c>
      <c r="D834">
        <v>4</v>
      </c>
      <c r="E834" t="s">
        <v>29</v>
      </c>
      <c r="F834">
        <v>126.13</v>
      </c>
      <c r="H834" t="s">
        <v>15</v>
      </c>
      <c r="I834" t="s">
        <v>25</v>
      </c>
      <c r="J834" t="s">
        <v>15</v>
      </c>
      <c r="K834">
        <v>126.13</v>
      </c>
      <c r="L834" t="s">
        <v>16</v>
      </c>
      <c r="M834" t="s">
        <v>16</v>
      </c>
      <c r="N834" t="s">
        <v>922</v>
      </c>
      <c r="O834">
        <f>_xlfn.XLOOKUP(customer_satisfaction_cleaned[[#This Row],[Product Category]],Table2[Product Category],Table2[Delivery SLA (Days)],"NA",0)</f>
        <v>5</v>
      </c>
      <c r="P8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5" spans="1:16" x14ac:dyDescent="0.2">
      <c r="A835" t="s">
        <v>823</v>
      </c>
      <c r="B835" t="s">
        <v>12</v>
      </c>
      <c r="C835">
        <v>7</v>
      </c>
      <c r="D835">
        <v>8</v>
      </c>
      <c r="E835" t="s">
        <v>32</v>
      </c>
      <c r="F835">
        <v>138.31</v>
      </c>
      <c r="G835">
        <v>35</v>
      </c>
      <c r="H835" t="s">
        <v>14</v>
      </c>
      <c r="I835" t="s">
        <v>13</v>
      </c>
      <c r="J835" t="s">
        <v>15</v>
      </c>
      <c r="K835">
        <v>138.31</v>
      </c>
      <c r="L835" t="s">
        <v>16</v>
      </c>
      <c r="M835" t="s">
        <v>16</v>
      </c>
      <c r="N835" t="s">
        <v>923</v>
      </c>
      <c r="O835">
        <f>_xlfn.XLOOKUP(customer_satisfaction_cleaned[[#This Row],[Product Category]],Table2[Product Category],Table2[Delivery SLA (Days)],"NA",0)</f>
        <v>5</v>
      </c>
      <c r="P8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36" spans="1:16" x14ac:dyDescent="0.2">
      <c r="A836" t="s">
        <v>824</v>
      </c>
      <c r="B836" t="s">
        <v>18</v>
      </c>
      <c r="C836">
        <v>11</v>
      </c>
      <c r="D836">
        <v>2</v>
      </c>
      <c r="E836" t="s">
        <v>29</v>
      </c>
      <c r="F836">
        <v>164.33</v>
      </c>
      <c r="G836">
        <v>58</v>
      </c>
      <c r="H836" t="s">
        <v>42</v>
      </c>
      <c r="I836" t="s">
        <v>25</v>
      </c>
      <c r="J836" t="s">
        <v>25</v>
      </c>
      <c r="K836">
        <v>164.33</v>
      </c>
      <c r="L836" t="s">
        <v>16</v>
      </c>
      <c r="M836" t="s">
        <v>16</v>
      </c>
      <c r="N836" t="s">
        <v>923</v>
      </c>
      <c r="O836">
        <f>_xlfn.XLOOKUP(customer_satisfaction_cleaned[[#This Row],[Product Category]],Table2[Product Category],Table2[Delivery SLA (Days)],"NA",0)</f>
        <v>10</v>
      </c>
      <c r="P8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7" spans="1:16" x14ac:dyDescent="0.2">
      <c r="A837" t="s">
        <v>825</v>
      </c>
      <c r="B837" t="s">
        <v>23</v>
      </c>
      <c r="C837">
        <v>6</v>
      </c>
      <c r="D837">
        <v>2</v>
      </c>
      <c r="E837" t="s">
        <v>13</v>
      </c>
      <c r="F837">
        <v>121.68</v>
      </c>
      <c r="G837">
        <v>63</v>
      </c>
      <c r="H837" t="s">
        <v>24</v>
      </c>
      <c r="I837" t="s">
        <v>13</v>
      </c>
      <c r="J837" t="s">
        <v>25</v>
      </c>
      <c r="K837">
        <v>121.68</v>
      </c>
      <c r="L837" t="s">
        <v>16</v>
      </c>
      <c r="M837" t="s">
        <v>16</v>
      </c>
      <c r="N837" t="s">
        <v>925</v>
      </c>
      <c r="O837">
        <f>_xlfn.XLOOKUP(customer_satisfaction_cleaned[[#This Row],[Product Category]],Table2[Product Category],Table2[Delivery SLA (Days)],"NA",0)</f>
        <v>7</v>
      </c>
      <c r="P8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8" spans="1:16" x14ac:dyDescent="0.2">
      <c r="A838" t="s">
        <v>826</v>
      </c>
      <c r="B838" t="s">
        <v>18</v>
      </c>
      <c r="C838">
        <v>11</v>
      </c>
      <c r="D838">
        <v>6</v>
      </c>
      <c r="E838" t="s">
        <v>13</v>
      </c>
      <c r="F838">
        <v>126.68</v>
      </c>
      <c r="G838">
        <v>56</v>
      </c>
      <c r="H838" t="s">
        <v>15</v>
      </c>
      <c r="I838" t="s">
        <v>13</v>
      </c>
      <c r="J838" t="s">
        <v>15</v>
      </c>
      <c r="K838">
        <v>126.68</v>
      </c>
      <c r="L838" t="s">
        <v>16</v>
      </c>
      <c r="M838" t="s">
        <v>16</v>
      </c>
      <c r="N838" t="s">
        <v>923</v>
      </c>
      <c r="O838">
        <f>_xlfn.XLOOKUP(customer_satisfaction_cleaned[[#This Row],[Product Category]],Table2[Product Category],Table2[Delivery SLA (Days)],"NA",0)</f>
        <v>10</v>
      </c>
      <c r="P8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9" spans="1:16" x14ac:dyDescent="0.2">
      <c r="A839" t="s">
        <v>827</v>
      </c>
      <c r="B839" t="s">
        <v>47</v>
      </c>
      <c r="C839">
        <v>11</v>
      </c>
      <c r="D839">
        <v>4</v>
      </c>
      <c r="E839" t="s">
        <v>29</v>
      </c>
      <c r="F839">
        <v>84.38</v>
      </c>
      <c r="G839">
        <v>63</v>
      </c>
      <c r="H839" t="s">
        <v>20</v>
      </c>
      <c r="I839" t="s">
        <v>25</v>
      </c>
      <c r="J839" t="s">
        <v>20</v>
      </c>
      <c r="K839">
        <v>84.38</v>
      </c>
      <c r="L839" t="s">
        <v>16</v>
      </c>
      <c r="M839" t="s">
        <v>16</v>
      </c>
      <c r="N839" t="s">
        <v>925</v>
      </c>
      <c r="O839">
        <f>_xlfn.XLOOKUP(customer_satisfaction_cleaned[[#This Row],[Product Category]],Table2[Product Category],Table2[Delivery SLA (Days)],"NA",0)</f>
        <v>7</v>
      </c>
      <c r="P8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0" spans="1:16" x14ac:dyDescent="0.2">
      <c r="A840" t="s">
        <v>828</v>
      </c>
      <c r="B840" t="s">
        <v>36</v>
      </c>
      <c r="C840">
        <v>5</v>
      </c>
      <c r="D840">
        <v>4</v>
      </c>
      <c r="E840" t="s">
        <v>21</v>
      </c>
      <c r="F840">
        <v>34.39</v>
      </c>
      <c r="G840">
        <v>34</v>
      </c>
      <c r="H840" t="s">
        <v>29</v>
      </c>
      <c r="I840" t="s">
        <v>21</v>
      </c>
      <c r="J840" t="s">
        <v>25</v>
      </c>
      <c r="K840">
        <v>34.39</v>
      </c>
      <c r="L840" t="s">
        <v>16</v>
      </c>
      <c r="M840" t="s">
        <v>16</v>
      </c>
      <c r="N840" t="s">
        <v>923</v>
      </c>
      <c r="O840" t="str">
        <f>_xlfn.XLOOKUP(customer_satisfaction_cleaned[[#This Row],[Product Category]],Table2[Product Category],Table2[Delivery SLA (Days)],"NA",0)</f>
        <v>NA</v>
      </c>
      <c r="P8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41" spans="1:16" x14ac:dyDescent="0.2">
      <c r="A841" t="s">
        <v>829</v>
      </c>
      <c r="B841" t="s">
        <v>23</v>
      </c>
      <c r="C841">
        <v>6</v>
      </c>
      <c r="D841">
        <v>6</v>
      </c>
      <c r="E841" t="s">
        <v>13</v>
      </c>
      <c r="F841">
        <v>157.22999999999999</v>
      </c>
      <c r="G841">
        <v>35</v>
      </c>
      <c r="H841" t="s">
        <v>14</v>
      </c>
      <c r="I841" t="s">
        <v>13</v>
      </c>
      <c r="J841" t="s">
        <v>15</v>
      </c>
      <c r="K841">
        <v>157.22999999999999</v>
      </c>
      <c r="L841" t="s">
        <v>16</v>
      </c>
      <c r="M841" t="s">
        <v>16</v>
      </c>
      <c r="N841" t="s">
        <v>923</v>
      </c>
      <c r="O841">
        <f>_xlfn.XLOOKUP(customer_satisfaction_cleaned[[#This Row],[Product Category]],Table2[Product Category],Table2[Delivery SLA (Days)],"NA",0)</f>
        <v>7</v>
      </c>
      <c r="P8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2" spans="1:16" x14ac:dyDescent="0.2">
      <c r="A842" t="s">
        <v>830</v>
      </c>
      <c r="B842" t="s">
        <v>12</v>
      </c>
      <c r="C842">
        <v>6</v>
      </c>
      <c r="D842">
        <v>4</v>
      </c>
      <c r="E842" t="s">
        <v>13</v>
      </c>
      <c r="F842">
        <v>70.349999999999994</v>
      </c>
      <c r="G842">
        <v>17</v>
      </c>
      <c r="H842" t="s">
        <v>20</v>
      </c>
      <c r="I842" t="s">
        <v>13</v>
      </c>
      <c r="J842" t="s">
        <v>20</v>
      </c>
      <c r="K842">
        <v>70.349999999999994</v>
      </c>
      <c r="L842" t="s">
        <v>16</v>
      </c>
      <c r="M842" t="s">
        <v>16</v>
      </c>
      <c r="N842" t="s">
        <v>924</v>
      </c>
      <c r="O842">
        <f>_xlfn.XLOOKUP(customer_satisfaction_cleaned[[#This Row],[Product Category]],Table2[Product Category],Table2[Delivery SLA (Days)],"NA",0)</f>
        <v>5</v>
      </c>
      <c r="P8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3" spans="1:16" x14ac:dyDescent="0.2">
      <c r="A843" t="s">
        <v>831</v>
      </c>
      <c r="B843" t="s">
        <v>12</v>
      </c>
      <c r="C843">
        <v>7</v>
      </c>
      <c r="D843">
        <v>5</v>
      </c>
      <c r="E843" t="s">
        <v>32</v>
      </c>
      <c r="F843">
        <v>41.26</v>
      </c>
      <c r="G843">
        <v>22</v>
      </c>
      <c r="H843" t="s">
        <v>44</v>
      </c>
      <c r="I843" t="s">
        <v>13</v>
      </c>
      <c r="J843" t="s">
        <v>20</v>
      </c>
      <c r="K843">
        <v>41.26</v>
      </c>
      <c r="L843" t="s">
        <v>16</v>
      </c>
      <c r="M843" t="s">
        <v>16</v>
      </c>
      <c r="N843" t="s">
        <v>924</v>
      </c>
      <c r="O843">
        <f>_xlfn.XLOOKUP(customer_satisfaction_cleaned[[#This Row],[Product Category]],Table2[Product Category],Table2[Delivery SLA (Days)],"NA",0)</f>
        <v>5</v>
      </c>
      <c r="P8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4" spans="1:16" x14ac:dyDescent="0.2">
      <c r="A844" t="s">
        <v>832</v>
      </c>
      <c r="B844" t="s">
        <v>18</v>
      </c>
      <c r="C844">
        <v>6</v>
      </c>
      <c r="D844">
        <v>6</v>
      </c>
      <c r="E844" t="s">
        <v>29</v>
      </c>
      <c r="F844">
        <v>109.46</v>
      </c>
      <c r="G844">
        <v>30</v>
      </c>
      <c r="H844" t="s">
        <v>42</v>
      </c>
      <c r="I844" t="s">
        <v>25</v>
      </c>
      <c r="J844" t="s">
        <v>25</v>
      </c>
      <c r="K844">
        <v>109.46</v>
      </c>
      <c r="L844" t="s">
        <v>16</v>
      </c>
      <c r="M844" t="s">
        <v>16</v>
      </c>
      <c r="N844" t="s">
        <v>923</v>
      </c>
      <c r="O844">
        <f>_xlfn.XLOOKUP(customer_satisfaction_cleaned[[#This Row],[Product Category]],Table2[Product Category],Table2[Delivery SLA (Days)],"NA",0)</f>
        <v>10</v>
      </c>
      <c r="P8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5" spans="1:16" x14ac:dyDescent="0.2">
      <c r="A845" t="s">
        <v>833</v>
      </c>
      <c r="B845" t="s">
        <v>18</v>
      </c>
      <c r="C845">
        <v>5</v>
      </c>
      <c r="D845">
        <v>5</v>
      </c>
      <c r="E845" t="s">
        <v>34</v>
      </c>
      <c r="F845">
        <v>88.72</v>
      </c>
      <c r="G845">
        <v>30</v>
      </c>
      <c r="H845" t="s">
        <v>29</v>
      </c>
      <c r="I845" t="s">
        <v>25</v>
      </c>
      <c r="J845" t="s">
        <v>25</v>
      </c>
      <c r="K845">
        <v>88.72</v>
      </c>
      <c r="L845" t="s">
        <v>16</v>
      </c>
      <c r="M845" t="s">
        <v>16</v>
      </c>
      <c r="N845" t="s">
        <v>923</v>
      </c>
      <c r="O845">
        <f>_xlfn.XLOOKUP(customer_satisfaction_cleaned[[#This Row],[Product Category]],Table2[Product Category],Table2[Delivery SLA (Days)],"NA",0)</f>
        <v>10</v>
      </c>
      <c r="P8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6" spans="1:16" x14ac:dyDescent="0.2">
      <c r="A846" t="s">
        <v>834</v>
      </c>
      <c r="B846" t="s">
        <v>23</v>
      </c>
      <c r="C846">
        <v>8</v>
      </c>
      <c r="D846">
        <v>1</v>
      </c>
      <c r="E846" t="s">
        <v>13</v>
      </c>
      <c r="F846">
        <v>171.97</v>
      </c>
      <c r="G846">
        <v>22</v>
      </c>
      <c r="H846" t="s">
        <v>44</v>
      </c>
      <c r="I846" t="s">
        <v>13</v>
      </c>
      <c r="J846" t="s">
        <v>20</v>
      </c>
      <c r="K846">
        <v>171.97</v>
      </c>
      <c r="L846" t="s">
        <v>16</v>
      </c>
      <c r="M846" t="s">
        <v>16</v>
      </c>
      <c r="N846" t="s">
        <v>924</v>
      </c>
      <c r="O846">
        <f>_xlfn.XLOOKUP(customer_satisfaction_cleaned[[#This Row],[Product Category]],Table2[Product Category],Table2[Delivery SLA (Days)],"NA",0)</f>
        <v>7</v>
      </c>
      <c r="P8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7" spans="1:16" x14ac:dyDescent="0.2">
      <c r="A847" t="s">
        <v>835</v>
      </c>
      <c r="B847" t="s">
        <v>18</v>
      </c>
      <c r="C847">
        <v>3</v>
      </c>
      <c r="D847">
        <v>5</v>
      </c>
      <c r="E847" t="s">
        <v>13</v>
      </c>
      <c r="F847">
        <v>68</v>
      </c>
      <c r="G847">
        <v>24</v>
      </c>
      <c r="H847" t="s">
        <v>24</v>
      </c>
      <c r="I847" t="s">
        <v>13</v>
      </c>
      <c r="J847" t="s">
        <v>25</v>
      </c>
      <c r="K847">
        <v>68</v>
      </c>
      <c r="L847" t="s">
        <v>16</v>
      </c>
      <c r="M847" t="s">
        <v>16</v>
      </c>
      <c r="N847" t="s">
        <v>924</v>
      </c>
      <c r="O847">
        <f>_xlfn.XLOOKUP(customer_satisfaction_cleaned[[#This Row],[Product Category]],Table2[Product Category],Table2[Delivery SLA (Days)],"NA",0)</f>
        <v>10</v>
      </c>
      <c r="P8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8" spans="1:16" x14ac:dyDescent="0.2">
      <c r="A848" t="s">
        <v>836</v>
      </c>
      <c r="B848" t="s">
        <v>23</v>
      </c>
      <c r="D848">
        <v>8</v>
      </c>
      <c r="E848" t="s">
        <v>21</v>
      </c>
      <c r="F848">
        <v>140.49</v>
      </c>
      <c r="G848">
        <v>37</v>
      </c>
      <c r="H848" t="s">
        <v>29</v>
      </c>
      <c r="I848" t="s">
        <v>21</v>
      </c>
      <c r="J848" t="s">
        <v>25</v>
      </c>
      <c r="K848">
        <v>140.49</v>
      </c>
      <c r="L848" t="s">
        <v>936</v>
      </c>
      <c r="M848" t="s">
        <v>16</v>
      </c>
      <c r="N848" t="s">
        <v>923</v>
      </c>
      <c r="O848">
        <f>_xlfn.XLOOKUP(customer_satisfaction_cleaned[[#This Row],[Product Category]],Table2[Product Category],Table2[Delivery SLA (Days)],"NA",0)</f>
        <v>7</v>
      </c>
      <c r="P8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49" spans="1:16" x14ac:dyDescent="0.2">
      <c r="A849" t="s">
        <v>837</v>
      </c>
      <c r="B849" t="s">
        <v>12</v>
      </c>
      <c r="C849">
        <v>8</v>
      </c>
      <c r="D849">
        <v>4</v>
      </c>
      <c r="E849" t="s">
        <v>19</v>
      </c>
      <c r="F849">
        <v>31.59</v>
      </c>
      <c r="G849">
        <v>33</v>
      </c>
      <c r="H849" t="s">
        <v>20</v>
      </c>
      <c r="I849" t="s">
        <v>21</v>
      </c>
      <c r="J849" t="s">
        <v>20</v>
      </c>
      <c r="K849">
        <v>31.59</v>
      </c>
      <c r="L849" t="s">
        <v>16</v>
      </c>
      <c r="M849" t="s">
        <v>16</v>
      </c>
      <c r="N849" t="s">
        <v>923</v>
      </c>
      <c r="O849">
        <f>_xlfn.XLOOKUP(customer_satisfaction_cleaned[[#This Row],[Product Category]],Table2[Product Category],Table2[Delivery SLA (Days)],"NA",0)</f>
        <v>5</v>
      </c>
      <c r="P8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0" spans="1:16" x14ac:dyDescent="0.2">
      <c r="A850" t="s">
        <v>838</v>
      </c>
      <c r="B850" t="s">
        <v>47</v>
      </c>
      <c r="D850">
        <v>3</v>
      </c>
      <c r="E850" t="s">
        <v>21</v>
      </c>
      <c r="F850">
        <v>71.05</v>
      </c>
      <c r="G850">
        <v>33</v>
      </c>
      <c r="H850" t="s">
        <v>44</v>
      </c>
      <c r="I850" t="s">
        <v>21</v>
      </c>
      <c r="J850" t="s">
        <v>20</v>
      </c>
      <c r="K850">
        <v>71.05</v>
      </c>
      <c r="L850" t="s">
        <v>936</v>
      </c>
      <c r="M850" t="s">
        <v>16</v>
      </c>
      <c r="N850" t="s">
        <v>923</v>
      </c>
      <c r="O850">
        <f>_xlfn.XLOOKUP(customer_satisfaction_cleaned[[#This Row],[Product Category]],Table2[Product Category],Table2[Delivery SLA (Days)],"NA",0)</f>
        <v>7</v>
      </c>
      <c r="P8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1" spans="1:16" x14ac:dyDescent="0.2">
      <c r="A851" t="s">
        <v>839</v>
      </c>
      <c r="B851" t="s">
        <v>47</v>
      </c>
      <c r="C851">
        <v>11</v>
      </c>
      <c r="D851">
        <v>6</v>
      </c>
      <c r="E851" t="s">
        <v>19</v>
      </c>
      <c r="F851">
        <v>67.459999999999994</v>
      </c>
      <c r="G851">
        <v>26</v>
      </c>
      <c r="H851" t="s">
        <v>15</v>
      </c>
      <c r="I851" t="s">
        <v>21</v>
      </c>
      <c r="J851" t="s">
        <v>15</v>
      </c>
      <c r="K851">
        <v>67.459999999999994</v>
      </c>
      <c r="L851" t="s">
        <v>16</v>
      </c>
      <c r="M851" t="s">
        <v>16</v>
      </c>
      <c r="N851" t="s">
        <v>924</v>
      </c>
      <c r="O851">
        <f>_xlfn.XLOOKUP(customer_satisfaction_cleaned[[#This Row],[Product Category]],Table2[Product Category],Table2[Delivery SLA (Days)],"NA",0)</f>
        <v>7</v>
      </c>
      <c r="P8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2" spans="1:16" x14ac:dyDescent="0.2">
      <c r="A852" t="s">
        <v>17</v>
      </c>
      <c r="B852" t="s">
        <v>36</v>
      </c>
      <c r="C852">
        <v>7</v>
      </c>
      <c r="D852">
        <v>2</v>
      </c>
      <c r="E852" t="s">
        <v>21</v>
      </c>
      <c r="F852">
        <v>146.63999999999999</v>
      </c>
      <c r="G852">
        <v>67</v>
      </c>
      <c r="H852" t="s">
        <v>14</v>
      </c>
      <c r="I852" t="s">
        <v>21</v>
      </c>
      <c r="J852" t="s">
        <v>15</v>
      </c>
      <c r="K852">
        <v>146.63999999999999</v>
      </c>
      <c r="L852" t="s">
        <v>16</v>
      </c>
      <c r="M852" t="s">
        <v>16</v>
      </c>
      <c r="N852" t="s">
        <v>925</v>
      </c>
      <c r="O852" t="str">
        <f>_xlfn.XLOOKUP(customer_satisfaction_cleaned[[#This Row],[Product Category]],Table2[Product Category],Table2[Delivery SLA (Days)],"NA",0)</f>
        <v>NA</v>
      </c>
      <c r="P8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53" spans="1:16" x14ac:dyDescent="0.2">
      <c r="A853" t="s">
        <v>840</v>
      </c>
      <c r="B853" t="s">
        <v>23</v>
      </c>
      <c r="C853">
        <v>8</v>
      </c>
      <c r="E853" t="s">
        <v>13</v>
      </c>
      <c r="F853">
        <v>84.93</v>
      </c>
      <c r="G853">
        <v>51</v>
      </c>
      <c r="H853" t="s">
        <v>20</v>
      </c>
      <c r="I853" t="s">
        <v>13</v>
      </c>
      <c r="J853" t="s">
        <v>20</v>
      </c>
      <c r="K853">
        <v>84.93</v>
      </c>
      <c r="L853" t="s">
        <v>16</v>
      </c>
      <c r="M853" t="s">
        <v>937</v>
      </c>
      <c r="N853" t="s">
        <v>923</v>
      </c>
      <c r="O853">
        <f>_xlfn.XLOOKUP(customer_satisfaction_cleaned[[#This Row],[Product Category]],Table2[Product Category],Table2[Delivery SLA (Days)],"NA",0)</f>
        <v>7</v>
      </c>
      <c r="P8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54" spans="1:16" x14ac:dyDescent="0.2">
      <c r="A854" t="s">
        <v>841</v>
      </c>
      <c r="B854" t="s">
        <v>12</v>
      </c>
      <c r="C854">
        <v>8</v>
      </c>
      <c r="D854">
        <v>2</v>
      </c>
      <c r="E854" t="s">
        <v>21</v>
      </c>
      <c r="F854">
        <v>138.77000000000001</v>
      </c>
      <c r="G854">
        <v>37</v>
      </c>
      <c r="H854" t="s">
        <v>29</v>
      </c>
      <c r="I854" t="s">
        <v>21</v>
      </c>
      <c r="J854" t="s">
        <v>25</v>
      </c>
      <c r="K854">
        <v>138.77000000000001</v>
      </c>
      <c r="L854" t="s">
        <v>16</v>
      </c>
      <c r="M854" t="s">
        <v>16</v>
      </c>
      <c r="N854" t="s">
        <v>923</v>
      </c>
      <c r="O854">
        <f>_xlfn.XLOOKUP(customer_satisfaction_cleaned[[#This Row],[Product Category]],Table2[Product Category],Table2[Delivery SLA (Days)],"NA",0)</f>
        <v>5</v>
      </c>
      <c r="P8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5" spans="1:16" x14ac:dyDescent="0.2">
      <c r="A855" t="s">
        <v>842</v>
      </c>
      <c r="B855" t="s">
        <v>47</v>
      </c>
      <c r="C855">
        <v>7</v>
      </c>
      <c r="E855" t="s">
        <v>19</v>
      </c>
      <c r="F855">
        <v>81.39</v>
      </c>
      <c r="G855">
        <v>58</v>
      </c>
      <c r="H855" t="s">
        <v>14</v>
      </c>
      <c r="I855" t="s">
        <v>21</v>
      </c>
      <c r="J855" t="s">
        <v>15</v>
      </c>
      <c r="K855">
        <v>81.39</v>
      </c>
      <c r="L855" t="s">
        <v>16</v>
      </c>
      <c r="M855" t="s">
        <v>937</v>
      </c>
      <c r="N855" t="s">
        <v>923</v>
      </c>
      <c r="O855">
        <f>_xlfn.XLOOKUP(customer_satisfaction_cleaned[[#This Row],[Product Category]],Table2[Product Category],Table2[Delivery SLA (Days)],"NA",0)</f>
        <v>7</v>
      </c>
      <c r="P8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56" spans="1:16" x14ac:dyDescent="0.2">
      <c r="A856" t="s">
        <v>843</v>
      </c>
      <c r="B856" t="s">
        <v>18</v>
      </c>
      <c r="C856">
        <v>7</v>
      </c>
      <c r="D856">
        <v>9</v>
      </c>
      <c r="E856" t="s">
        <v>29</v>
      </c>
      <c r="F856">
        <v>127.67</v>
      </c>
      <c r="G856">
        <v>30</v>
      </c>
      <c r="H856" t="s">
        <v>42</v>
      </c>
      <c r="I856" t="s">
        <v>25</v>
      </c>
      <c r="J856" t="s">
        <v>25</v>
      </c>
      <c r="K856">
        <v>127.67</v>
      </c>
      <c r="L856" t="s">
        <v>16</v>
      </c>
      <c r="M856" t="s">
        <v>16</v>
      </c>
      <c r="N856" t="s">
        <v>923</v>
      </c>
      <c r="O856">
        <f>_xlfn.XLOOKUP(customer_satisfaction_cleaned[[#This Row],[Product Category]],Table2[Product Category],Table2[Delivery SLA (Days)],"NA",0)</f>
        <v>10</v>
      </c>
      <c r="P8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7" spans="1:16" x14ac:dyDescent="0.2">
      <c r="A857" t="s">
        <v>844</v>
      </c>
      <c r="B857" t="s">
        <v>18</v>
      </c>
      <c r="C857">
        <v>12</v>
      </c>
      <c r="D857">
        <v>5</v>
      </c>
      <c r="E857" t="s">
        <v>19</v>
      </c>
      <c r="F857">
        <v>90.72</v>
      </c>
      <c r="G857">
        <v>37</v>
      </c>
      <c r="H857" t="s">
        <v>29</v>
      </c>
      <c r="I857" t="s">
        <v>21</v>
      </c>
      <c r="J857" t="s">
        <v>25</v>
      </c>
      <c r="K857">
        <v>90.72</v>
      </c>
      <c r="L857" t="s">
        <v>16</v>
      </c>
      <c r="M857" t="s">
        <v>16</v>
      </c>
      <c r="N857" t="s">
        <v>923</v>
      </c>
      <c r="O857">
        <f>_xlfn.XLOOKUP(customer_satisfaction_cleaned[[#This Row],[Product Category]],Table2[Product Category],Table2[Delivery SLA (Days)],"NA",0)</f>
        <v>10</v>
      </c>
      <c r="P8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8" spans="1:16" x14ac:dyDescent="0.2">
      <c r="A858" t="s">
        <v>845</v>
      </c>
      <c r="B858" t="s">
        <v>47</v>
      </c>
      <c r="C858">
        <v>6</v>
      </c>
      <c r="D858">
        <v>3</v>
      </c>
      <c r="E858" t="s">
        <v>13</v>
      </c>
      <c r="F858">
        <v>105.1</v>
      </c>
      <c r="G858">
        <v>25</v>
      </c>
      <c r="H858" t="s">
        <v>15</v>
      </c>
      <c r="I858" t="s">
        <v>13</v>
      </c>
      <c r="J858" t="s">
        <v>15</v>
      </c>
      <c r="K858">
        <v>105.1</v>
      </c>
      <c r="L858" t="s">
        <v>16</v>
      </c>
      <c r="M858" t="s">
        <v>16</v>
      </c>
      <c r="N858" t="s">
        <v>924</v>
      </c>
      <c r="O858">
        <f>_xlfn.XLOOKUP(customer_satisfaction_cleaned[[#This Row],[Product Category]],Table2[Product Category],Table2[Delivery SLA (Days)],"NA",0)</f>
        <v>7</v>
      </c>
      <c r="P8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9" spans="1:16" x14ac:dyDescent="0.2">
      <c r="A859" t="s">
        <v>846</v>
      </c>
      <c r="B859" t="s">
        <v>23</v>
      </c>
      <c r="C859">
        <v>7</v>
      </c>
      <c r="D859">
        <v>5</v>
      </c>
      <c r="E859" t="s">
        <v>13</v>
      </c>
      <c r="F859">
        <v>109.38</v>
      </c>
      <c r="G859">
        <v>25</v>
      </c>
      <c r="H859" t="s">
        <v>20</v>
      </c>
      <c r="I859" t="s">
        <v>13</v>
      </c>
      <c r="J859" t="s">
        <v>20</v>
      </c>
      <c r="K859">
        <v>109.38</v>
      </c>
      <c r="L859" t="s">
        <v>16</v>
      </c>
      <c r="M859" t="s">
        <v>16</v>
      </c>
      <c r="N859" t="s">
        <v>924</v>
      </c>
      <c r="O859">
        <f>_xlfn.XLOOKUP(customer_satisfaction_cleaned[[#This Row],[Product Category]],Table2[Product Category],Table2[Delivery SLA (Days)],"NA",0)</f>
        <v>7</v>
      </c>
      <c r="P8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0" spans="1:16" x14ac:dyDescent="0.2">
      <c r="A860" t="s">
        <v>847</v>
      </c>
      <c r="B860" t="s">
        <v>23</v>
      </c>
      <c r="C860">
        <v>8</v>
      </c>
      <c r="D860">
        <v>7</v>
      </c>
      <c r="E860" t="s">
        <v>32</v>
      </c>
      <c r="F860">
        <v>65.209999999999994</v>
      </c>
      <c r="G860">
        <v>50</v>
      </c>
      <c r="H860" t="s">
        <v>24</v>
      </c>
      <c r="I860" t="s">
        <v>13</v>
      </c>
      <c r="J860" t="s">
        <v>25</v>
      </c>
      <c r="K860">
        <v>65.209999999999994</v>
      </c>
      <c r="L860" t="s">
        <v>16</v>
      </c>
      <c r="M860" t="s">
        <v>16</v>
      </c>
      <c r="N860" t="s">
        <v>923</v>
      </c>
      <c r="O860">
        <f>_xlfn.XLOOKUP(customer_satisfaction_cleaned[[#This Row],[Product Category]],Table2[Product Category],Table2[Delivery SLA (Days)],"NA",0)</f>
        <v>7</v>
      </c>
      <c r="P8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1" spans="1:16" x14ac:dyDescent="0.2">
      <c r="A861" t="s">
        <v>848</v>
      </c>
      <c r="B861" t="s">
        <v>36</v>
      </c>
      <c r="C861">
        <v>8</v>
      </c>
      <c r="D861">
        <v>4</v>
      </c>
      <c r="E861" t="s">
        <v>29</v>
      </c>
      <c r="F861">
        <v>106.48</v>
      </c>
      <c r="G861">
        <v>43</v>
      </c>
      <c r="H861" t="s">
        <v>20</v>
      </c>
      <c r="I861" t="s">
        <v>25</v>
      </c>
      <c r="J861" t="s">
        <v>20</v>
      </c>
      <c r="K861">
        <v>106.48</v>
      </c>
      <c r="L861" t="s">
        <v>16</v>
      </c>
      <c r="M861" t="s">
        <v>16</v>
      </c>
      <c r="N861" t="s">
        <v>923</v>
      </c>
      <c r="O861" t="str">
        <f>_xlfn.XLOOKUP(customer_satisfaction_cleaned[[#This Row],[Product Category]],Table2[Product Category],Table2[Delivery SLA (Days)],"NA",0)</f>
        <v>NA</v>
      </c>
      <c r="P8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62" spans="1:16" x14ac:dyDescent="0.2">
      <c r="A862" t="s">
        <v>849</v>
      </c>
      <c r="B862" t="s">
        <v>18</v>
      </c>
      <c r="C862">
        <v>11</v>
      </c>
      <c r="D862">
        <v>5</v>
      </c>
      <c r="E862" t="s">
        <v>21</v>
      </c>
      <c r="F862">
        <v>146.87</v>
      </c>
      <c r="G862">
        <v>52</v>
      </c>
      <c r="H862" t="s">
        <v>42</v>
      </c>
      <c r="I862" t="s">
        <v>21</v>
      </c>
      <c r="J862" t="s">
        <v>25</v>
      </c>
      <c r="K862">
        <v>146.87</v>
      </c>
      <c r="L862" t="s">
        <v>16</v>
      </c>
      <c r="M862" t="s">
        <v>16</v>
      </c>
      <c r="N862" t="s">
        <v>923</v>
      </c>
      <c r="O862">
        <f>_xlfn.XLOOKUP(customer_satisfaction_cleaned[[#This Row],[Product Category]],Table2[Product Category],Table2[Delivery SLA (Days)],"NA",0)</f>
        <v>10</v>
      </c>
      <c r="P8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3" spans="1:16" x14ac:dyDescent="0.2">
      <c r="A863" t="s">
        <v>850</v>
      </c>
      <c r="B863" t="s">
        <v>23</v>
      </c>
      <c r="C863">
        <v>6</v>
      </c>
      <c r="D863">
        <v>4</v>
      </c>
      <c r="E863" t="s">
        <v>29</v>
      </c>
      <c r="F863">
        <v>109.82</v>
      </c>
      <c r="H863" t="s">
        <v>15</v>
      </c>
      <c r="I863" t="s">
        <v>25</v>
      </c>
      <c r="J863" t="s">
        <v>15</v>
      </c>
      <c r="K863">
        <v>109.82</v>
      </c>
      <c r="L863" t="s">
        <v>16</v>
      </c>
      <c r="M863" t="s">
        <v>16</v>
      </c>
      <c r="N863" t="s">
        <v>922</v>
      </c>
      <c r="O863">
        <f>_xlfn.XLOOKUP(customer_satisfaction_cleaned[[#This Row],[Product Category]],Table2[Product Category],Table2[Delivery SLA (Days)],"NA",0)</f>
        <v>7</v>
      </c>
      <c r="P8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4" spans="1:16" x14ac:dyDescent="0.2">
      <c r="A864" t="s">
        <v>851</v>
      </c>
      <c r="B864" t="s">
        <v>18</v>
      </c>
      <c r="D864">
        <v>5</v>
      </c>
      <c r="E864" t="s">
        <v>32</v>
      </c>
      <c r="F864">
        <v>181.12</v>
      </c>
      <c r="G864">
        <v>69</v>
      </c>
      <c r="H864" t="s">
        <v>24</v>
      </c>
      <c r="I864" t="s">
        <v>13</v>
      </c>
      <c r="J864" t="s">
        <v>25</v>
      </c>
      <c r="K864">
        <v>181.12</v>
      </c>
      <c r="L864" t="s">
        <v>936</v>
      </c>
      <c r="M864" t="s">
        <v>16</v>
      </c>
      <c r="N864" t="s">
        <v>925</v>
      </c>
      <c r="O864">
        <f>_xlfn.XLOOKUP(customer_satisfaction_cleaned[[#This Row],[Product Category]],Table2[Product Category],Table2[Delivery SLA (Days)],"NA",0)</f>
        <v>10</v>
      </c>
      <c r="P8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5" spans="1:16" x14ac:dyDescent="0.2">
      <c r="A865" t="s">
        <v>852</v>
      </c>
      <c r="B865" t="s">
        <v>12</v>
      </c>
      <c r="C865">
        <v>7</v>
      </c>
      <c r="D865">
        <v>8</v>
      </c>
      <c r="E865" t="s">
        <v>13</v>
      </c>
      <c r="F865">
        <v>30.31</v>
      </c>
      <c r="G865">
        <v>42</v>
      </c>
      <c r="H865" t="s">
        <v>29</v>
      </c>
      <c r="I865" t="s">
        <v>13</v>
      </c>
      <c r="J865" t="s">
        <v>25</v>
      </c>
      <c r="K865">
        <v>30.31</v>
      </c>
      <c r="L865" t="s">
        <v>16</v>
      </c>
      <c r="M865" t="s">
        <v>16</v>
      </c>
      <c r="N865" t="s">
        <v>923</v>
      </c>
      <c r="O865">
        <f>_xlfn.XLOOKUP(customer_satisfaction_cleaned[[#This Row],[Product Category]],Table2[Product Category],Table2[Delivery SLA (Days)],"NA",0)</f>
        <v>5</v>
      </c>
      <c r="P8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66" spans="1:16" x14ac:dyDescent="0.2">
      <c r="A866" t="s">
        <v>853</v>
      </c>
      <c r="B866" t="s">
        <v>36</v>
      </c>
      <c r="C866">
        <v>7</v>
      </c>
      <c r="D866">
        <v>6</v>
      </c>
      <c r="E866" t="s">
        <v>32</v>
      </c>
      <c r="F866">
        <v>139.52000000000001</v>
      </c>
      <c r="G866">
        <v>59</v>
      </c>
      <c r="H866" t="s">
        <v>29</v>
      </c>
      <c r="I866" t="s">
        <v>13</v>
      </c>
      <c r="J866" t="s">
        <v>25</v>
      </c>
      <c r="K866">
        <v>139.52000000000001</v>
      </c>
      <c r="L866" t="s">
        <v>16</v>
      </c>
      <c r="M866" t="s">
        <v>16</v>
      </c>
      <c r="N866" t="s">
        <v>923</v>
      </c>
      <c r="O866" t="str">
        <f>_xlfn.XLOOKUP(customer_satisfaction_cleaned[[#This Row],[Product Category]],Table2[Product Category],Table2[Delivery SLA (Days)],"NA",0)</f>
        <v>NA</v>
      </c>
      <c r="P8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67" spans="1:16" x14ac:dyDescent="0.2">
      <c r="A867" t="s">
        <v>854</v>
      </c>
      <c r="B867" t="s">
        <v>12</v>
      </c>
      <c r="C867">
        <v>7</v>
      </c>
      <c r="D867">
        <v>4</v>
      </c>
      <c r="E867" t="s">
        <v>21</v>
      </c>
      <c r="F867">
        <v>103.43</v>
      </c>
      <c r="G867">
        <v>27</v>
      </c>
      <c r="H867" t="s">
        <v>42</v>
      </c>
      <c r="I867" t="s">
        <v>21</v>
      </c>
      <c r="J867" t="s">
        <v>25</v>
      </c>
      <c r="K867">
        <v>103.43</v>
      </c>
      <c r="L867" t="s">
        <v>16</v>
      </c>
      <c r="M867" t="s">
        <v>16</v>
      </c>
      <c r="N867" t="s">
        <v>924</v>
      </c>
      <c r="O867">
        <f>_xlfn.XLOOKUP(customer_satisfaction_cleaned[[#This Row],[Product Category]],Table2[Product Category],Table2[Delivery SLA (Days)],"NA",0)</f>
        <v>5</v>
      </c>
      <c r="P8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8" spans="1:16" x14ac:dyDescent="0.2">
      <c r="A868" t="s">
        <v>855</v>
      </c>
      <c r="B868" t="s">
        <v>12</v>
      </c>
      <c r="C868">
        <v>7</v>
      </c>
      <c r="D868">
        <v>6</v>
      </c>
      <c r="E868" t="s">
        <v>19</v>
      </c>
      <c r="F868">
        <v>157.07</v>
      </c>
      <c r="G868">
        <v>50</v>
      </c>
      <c r="H868" t="s">
        <v>20</v>
      </c>
      <c r="I868" t="s">
        <v>21</v>
      </c>
      <c r="J868" t="s">
        <v>20</v>
      </c>
      <c r="K868">
        <v>157.07</v>
      </c>
      <c r="L868" t="s">
        <v>16</v>
      </c>
      <c r="M868" t="s">
        <v>16</v>
      </c>
      <c r="N868" t="s">
        <v>923</v>
      </c>
      <c r="O868">
        <f>_xlfn.XLOOKUP(customer_satisfaction_cleaned[[#This Row],[Product Category]],Table2[Product Category],Table2[Delivery SLA (Days)],"NA",0)</f>
        <v>5</v>
      </c>
      <c r="P8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69" spans="1:16" x14ac:dyDescent="0.2">
      <c r="A869" t="s">
        <v>856</v>
      </c>
      <c r="B869" t="s">
        <v>12</v>
      </c>
      <c r="C869">
        <v>7</v>
      </c>
      <c r="D869">
        <v>6</v>
      </c>
      <c r="E869" t="s">
        <v>32</v>
      </c>
      <c r="F869">
        <v>81.16</v>
      </c>
      <c r="G869">
        <v>15</v>
      </c>
      <c r="H869" t="s">
        <v>29</v>
      </c>
      <c r="I869" t="s">
        <v>13</v>
      </c>
      <c r="J869" t="s">
        <v>25</v>
      </c>
      <c r="K869">
        <v>81.16</v>
      </c>
      <c r="L869" t="s">
        <v>16</v>
      </c>
      <c r="M869" t="s">
        <v>16</v>
      </c>
      <c r="N869" t="s">
        <v>924</v>
      </c>
      <c r="O869">
        <f>_xlfn.XLOOKUP(customer_satisfaction_cleaned[[#This Row],[Product Category]],Table2[Product Category],Table2[Delivery SLA (Days)],"NA",0)</f>
        <v>5</v>
      </c>
      <c r="P8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70" spans="1:16" x14ac:dyDescent="0.2">
      <c r="A870" t="s">
        <v>857</v>
      </c>
      <c r="B870" t="s">
        <v>23</v>
      </c>
      <c r="C870">
        <v>8</v>
      </c>
      <c r="D870">
        <v>8</v>
      </c>
      <c r="E870" t="s">
        <v>21</v>
      </c>
      <c r="F870">
        <v>126</v>
      </c>
      <c r="G870">
        <v>37</v>
      </c>
      <c r="H870" t="s">
        <v>42</v>
      </c>
      <c r="I870" t="s">
        <v>21</v>
      </c>
      <c r="J870" t="s">
        <v>25</v>
      </c>
      <c r="K870">
        <v>126</v>
      </c>
      <c r="L870" t="s">
        <v>16</v>
      </c>
      <c r="M870" t="s">
        <v>16</v>
      </c>
      <c r="N870" t="s">
        <v>923</v>
      </c>
      <c r="O870">
        <f>_xlfn.XLOOKUP(customer_satisfaction_cleaned[[#This Row],[Product Category]],Table2[Product Category],Table2[Delivery SLA (Days)],"NA",0)</f>
        <v>7</v>
      </c>
      <c r="P8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71" spans="1:16" x14ac:dyDescent="0.2">
      <c r="A871" t="s">
        <v>858</v>
      </c>
      <c r="B871" t="s">
        <v>18</v>
      </c>
      <c r="C871">
        <v>8</v>
      </c>
      <c r="D871">
        <v>7</v>
      </c>
      <c r="E871" t="s">
        <v>21</v>
      </c>
      <c r="F871">
        <v>74.040000000000006</v>
      </c>
      <c r="G871">
        <v>48</v>
      </c>
      <c r="H871" t="s">
        <v>24</v>
      </c>
      <c r="I871" t="s">
        <v>21</v>
      </c>
      <c r="J871" t="s">
        <v>25</v>
      </c>
      <c r="K871">
        <v>74.040000000000006</v>
      </c>
      <c r="L871" t="s">
        <v>16</v>
      </c>
      <c r="M871" t="s">
        <v>16</v>
      </c>
      <c r="N871" t="s">
        <v>923</v>
      </c>
      <c r="O871">
        <f>_xlfn.XLOOKUP(customer_satisfaction_cleaned[[#This Row],[Product Category]],Table2[Product Category],Table2[Delivery SLA (Days)],"NA",0)</f>
        <v>10</v>
      </c>
      <c r="P8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2" spans="1:16" x14ac:dyDescent="0.2">
      <c r="A872" t="s">
        <v>859</v>
      </c>
      <c r="B872" t="s">
        <v>23</v>
      </c>
      <c r="C872">
        <v>9</v>
      </c>
      <c r="D872">
        <v>7</v>
      </c>
      <c r="E872" t="s">
        <v>19</v>
      </c>
      <c r="F872">
        <v>39.549999999999997</v>
      </c>
      <c r="G872">
        <v>29</v>
      </c>
      <c r="H872" t="s">
        <v>14</v>
      </c>
      <c r="I872" t="s">
        <v>21</v>
      </c>
      <c r="J872" t="s">
        <v>15</v>
      </c>
      <c r="K872">
        <v>39.549999999999997</v>
      </c>
      <c r="L872" t="s">
        <v>16</v>
      </c>
      <c r="M872" t="s">
        <v>16</v>
      </c>
      <c r="N872" t="s">
        <v>924</v>
      </c>
      <c r="O872">
        <f>_xlfn.XLOOKUP(customer_satisfaction_cleaned[[#This Row],[Product Category]],Table2[Product Category],Table2[Delivery SLA (Days)],"NA",0)</f>
        <v>7</v>
      </c>
      <c r="P8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3" spans="1:16" x14ac:dyDescent="0.2">
      <c r="A873" t="s">
        <v>860</v>
      </c>
      <c r="B873" t="s">
        <v>18</v>
      </c>
      <c r="C873">
        <v>11</v>
      </c>
      <c r="D873">
        <v>8</v>
      </c>
      <c r="E873" t="s">
        <v>13</v>
      </c>
      <c r="F873">
        <v>51.11</v>
      </c>
      <c r="G873">
        <v>26</v>
      </c>
      <c r="H873" t="s">
        <v>20</v>
      </c>
      <c r="I873" t="s">
        <v>13</v>
      </c>
      <c r="J873" t="s">
        <v>20</v>
      </c>
      <c r="K873">
        <v>51.11</v>
      </c>
      <c r="L873" t="s">
        <v>16</v>
      </c>
      <c r="M873" t="s">
        <v>16</v>
      </c>
      <c r="N873" t="s">
        <v>924</v>
      </c>
      <c r="O873">
        <f>_xlfn.XLOOKUP(customer_satisfaction_cleaned[[#This Row],[Product Category]],Table2[Product Category],Table2[Delivery SLA (Days)],"NA",0)</f>
        <v>10</v>
      </c>
      <c r="P8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4" spans="1:16" x14ac:dyDescent="0.2">
      <c r="A874" t="s">
        <v>861</v>
      </c>
      <c r="B874" t="s">
        <v>12</v>
      </c>
      <c r="C874">
        <v>5</v>
      </c>
      <c r="D874">
        <v>6</v>
      </c>
      <c r="E874" t="s">
        <v>21</v>
      </c>
      <c r="F874">
        <v>95.14</v>
      </c>
      <c r="G874">
        <v>40</v>
      </c>
      <c r="H874" t="s">
        <v>29</v>
      </c>
      <c r="I874" t="s">
        <v>21</v>
      </c>
      <c r="J874" t="s">
        <v>25</v>
      </c>
      <c r="K874">
        <v>95.14</v>
      </c>
      <c r="L874" t="s">
        <v>16</v>
      </c>
      <c r="M874" t="s">
        <v>16</v>
      </c>
      <c r="N874" t="s">
        <v>923</v>
      </c>
      <c r="O874">
        <f>_xlfn.XLOOKUP(customer_satisfaction_cleaned[[#This Row],[Product Category]],Table2[Product Category],Table2[Delivery SLA (Days)],"NA",0)</f>
        <v>5</v>
      </c>
      <c r="P8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75" spans="1:16" x14ac:dyDescent="0.2">
      <c r="A875" t="s">
        <v>862</v>
      </c>
      <c r="B875" t="s">
        <v>18</v>
      </c>
      <c r="C875">
        <v>6</v>
      </c>
      <c r="D875">
        <v>2</v>
      </c>
      <c r="E875" t="s">
        <v>13</v>
      </c>
      <c r="F875">
        <v>168.31</v>
      </c>
      <c r="G875">
        <v>8</v>
      </c>
      <c r="H875" t="s">
        <v>42</v>
      </c>
      <c r="I875" t="s">
        <v>13</v>
      </c>
      <c r="J875" t="s">
        <v>25</v>
      </c>
      <c r="K875">
        <v>168.31</v>
      </c>
      <c r="L875" t="s">
        <v>16</v>
      </c>
      <c r="M875" t="s">
        <v>16</v>
      </c>
      <c r="N875" t="s">
        <v>926</v>
      </c>
      <c r="O875">
        <f>_xlfn.XLOOKUP(customer_satisfaction_cleaned[[#This Row],[Product Category]],Table2[Product Category],Table2[Delivery SLA (Days)],"NA",0)</f>
        <v>10</v>
      </c>
      <c r="P8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6" spans="1:16" x14ac:dyDescent="0.2">
      <c r="A876" t="s">
        <v>863</v>
      </c>
      <c r="B876" t="s">
        <v>23</v>
      </c>
      <c r="C876">
        <v>8</v>
      </c>
      <c r="D876">
        <v>6</v>
      </c>
      <c r="E876" t="s">
        <v>13</v>
      </c>
      <c r="F876">
        <v>86.17</v>
      </c>
      <c r="G876">
        <v>37</v>
      </c>
      <c r="H876" t="s">
        <v>42</v>
      </c>
      <c r="I876" t="s">
        <v>13</v>
      </c>
      <c r="J876" t="s">
        <v>25</v>
      </c>
      <c r="K876">
        <v>86.17</v>
      </c>
      <c r="L876" t="s">
        <v>16</v>
      </c>
      <c r="M876" t="s">
        <v>16</v>
      </c>
      <c r="N876" t="s">
        <v>923</v>
      </c>
      <c r="O876">
        <f>_xlfn.XLOOKUP(customer_satisfaction_cleaned[[#This Row],[Product Category]],Table2[Product Category],Table2[Delivery SLA (Days)],"NA",0)</f>
        <v>7</v>
      </c>
      <c r="P8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7" spans="1:16" x14ac:dyDescent="0.2">
      <c r="A877" t="s">
        <v>864</v>
      </c>
      <c r="B877" t="s">
        <v>47</v>
      </c>
      <c r="C877">
        <v>6</v>
      </c>
      <c r="D877">
        <v>8</v>
      </c>
      <c r="E877" t="s">
        <v>32</v>
      </c>
      <c r="F877">
        <v>43.11</v>
      </c>
      <c r="G877">
        <v>43</v>
      </c>
      <c r="H877" t="s">
        <v>20</v>
      </c>
      <c r="I877" t="s">
        <v>13</v>
      </c>
      <c r="J877" t="s">
        <v>20</v>
      </c>
      <c r="K877">
        <v>43.11</v>
      </c>
      <c r="L877" t="s">
        <v>16</v>
      </c>
      <c r="M877" t="s">
        <v>16</v>
      </c>
      <c r="N877" t="s">
        <v>923</v>
      </c>
      <c r="O877">
        <f>_xlfn.XLOOKUP(customer_satisfaction_cleaned[[#This Row],[Product Category]],Table2[Product Category],Table2[Delivery SLA (Days)],"NA",0)</f>
        <v>7</v>
      </c>
      <c r="P8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78" spans="1:16" x14ac:dyDescent="0.2">
      <c r="A878" t="s">
        <v>865</v>
      </c>
      <c r="B878" t="s">
        <v>12</v>
      </c>
      <c r="C878">
        <v>8</v>
      </c>
      <c r="D878">
        <v>3</v>
      </c>
      <c r="E878" t="s">
        <v>21</v>
      </c>
      <c r="F878">
        <v>89.16</v>
      </c>
      <c r="G878">
        <v>16</v>
      </c>
      <c r="H878" t="s">
        <v>34</v>
      </c>
      <c r="I878" t="s">
        <v>21</v>
      </c>
      <c r="J878" t="s">
        <v>25</v>
      </c>
      <c r="K878">
        <v>89.16</v>
      </c>
      <c r="L878" t="s">
        <v>16</v>
      </c>
      <c r="M878" t="s">
        <v>16</v>
      </c>
      <c r="N878" t="s">
        <v>924</v>
      </c>
      <c r="O878">
        <f>_xlfn.XLOOKUP(customer_satisfaction_cleaned[[#This Row],[Product Category]],Table2[Product Category],Table2[Delivery SLA (Days)],"NA",0)</f>
        <v>5</v>
      </c>
      <c r="P8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9" spans="1:16" x14ac:dyDescent="0.2">
      <c r="A879" t="s">
        <v>866</v>
      </c>
      <c r="B879" t="s">
        <v>18</v>
      </c>
      <c r="C879">
        <v>6</v>
      </c>
      <c r="D879">
        <v>5</v>
      </c>
      <c r="E879" t="s">
        <v>13</v>
      </c>
      <c r="F879">
        <v>59.32</v>
      </c>
      <c r="G879">
        <v>34</v>
      </c>
      <c r="H879" t="s">
        <v>42</v>
      </c>
      <c r="I879" t="s">
        <v>13</v>
      </c>
      <c r="J879" t="s">
        <v>25</v>
      </c>
      <c r="K879">
        <v>59.32</v>
      </c>
      <c r="L879" t="s">
        <v>16</v>
      </c>
      <c r="M879" t="s">
        <v>16</v>
      </c>
      <c r="N879" t="s">
        <v>923</v>
      </c>
      <c r="O879">
        <f>_xlfn.XLOOKUP(customer_satisfaction_cleaned[[#This Row],[Product Category]],Table2[Product Category],Table2[Delivery SLA (Days)],"NA",0)</f>
        <v>10</v>
      </c>
      <c r="P8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0" spans="1:16" x14ac:dyDescent="0.2">
      <c r="A880" t="s">
        <v>867</v>
      </c>
      <c r="B880" t="s">
        <v>47</v>
      </c>
      <c r="C880">
        <v>7</v>
      </c>
      <c r="D880">
        <v>6</v>
      </c>
      <c r="E880" t="s">
        <v>32</v>
      </c>
      <c r="F880">
        <v>59.76</v>
      </c>
      <c r="G880">
        <v>34</v>
      </c>
      <c r="H880" t="s">
        <v>34</v>
      </c>
      <c r="I880" t="s">
        <v>13</v>
      </c>
      <c r="J880" t="s">
        <v>25</v>
      </c>
      <c r="K880">
        <v>59.76</v>
      </c>
      <c r="L880" t="s">
        <v>16</v>
      </c>
      <c r="M880" t="s">
        <v>16</v>
      </c>
      <c r="N880" t="s">
        <v>923</v>
      </c>
      <c r="O880">
        <f>_xlfn.XLOOKUP(customer_satisfaction_cleaned[[#This Row],[Product Category]],Table2[Product Category],Table2[Delivery SLA (Days)],"NA",0)</f>
        <v>7</v>
      </c>
      <c r="P8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1" spans="1:16" x14ac:dyDescent="0.2">
      <c r="A881" t="s">
        <v>868</v>
      </c>
      <c r="B881" t="s">
        <v>23</v>
      </c>
      <c r="C881">
        <v>8</v>
      </c>
      <c r="D881">
        <v>6</v>
      </c>
      <c r="E881" t="s">
        <v>21</v>
      </c>
      <c r="F881">
        <v>130.41999999999999</v>
      </c>
      <c r="G881">
        <v>2</v>
      </c>
      <c r="H881" t="s">
        <v>14</v>
      </c>
      <c r="I881" t="s">
        <v>21</v>
      </c>
      <c r="J881" t="s">
        <v>15</v>
      </c>
      <c r="K881">
        <v>130.41999999999999</v>
      </c>
      <c r="L881" t="s">
        <v>16</v>
      </c>
      <c r="M881" t="s">
        <v>16</v>
      </c>
      <c r="N881" t="s">
        <v>926</v>
      </c>
      <c r="O881">
        <f>_xlfn.XLOOKUP(customer_satisfaction_cleaned[[#This Row],[Product Category]],Table2[Product Category],Table2[Delivery SLA (Days)],"NA",0)</f>
        <v>7</v>
      </c>
      <c r="P8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2" spans="1:16" x14ac:dyDescent="0.2">
      <c r="A882" t="s">
        <v>869</v>
      </c>
      <c r="B882" t="s">
        <v>47</v>
      </c>
      <c r="C882">
        <v>12</v>
      </c>
      <c r="D882">
        <v>7</v>
      </c>
      <c r="E882" t="s">
        <v>13</v>
      </c>
      <c r="F882">
        <v>11482</v>
      </c>
      <c r="G882">
        <v>26</v>
      </c>
      <c r="H882" t="s">
        <v>29</v>
      </c>
      <c r="I882" t="s">
        <v>13</v>
      </c>
      <c r="J882" t="s">
        <v>25</v>
      </c>
      <c r="K882">
        <v>11482</v>
      </c>
      <c r="L882" t="s">
        <v>16</v>
      </c>
      <c r="M882" t="s">
        <v>16</v>
      </c>
      <c r="N882" t="s">
        <v>924</v>
      </c>
      <c r="O882">
        <f>_xlfn.XLOOKUP(customer_satisfaction_cleaned[[#This Row],[Product Category]],Table2[Product Category],Table2[Delivery SLA (Days)],"NA",0)</f>
        <v>7</v>
      </c>
      <c r="P8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3" spans="1:16" x14ac:dyDescent="0.2">
      <c r="A883" t="s">
        <v>870</v>
      </c>
      <c r="B883" t="s">
        <v>12</v>
      </c>
      <c r="C883">
        <v>8</v>
      </c>
      <c r="D883">
        <v>10</v>
      </c>
      <c r="E883" t="s">
        <v>29</v>
      </c>
      <c r="F883">
        <v>94.69</v>
      </c>
      <c r="G883">
        <v>32</v>
      </c>
      <c r="H883" t="s">
        <v>29</v>
      </c>
      <c r="I883" t="s">
        <v>25</v>
      </c>
      <c r="J883" t="s">
        <v>25</v>
      </c>
      <c r="K883">
        <v>94.69</v>
      </c>
      <c r="L883" t="s">
        <v>16</v>
      </c>
      <c r="M883" t="s">
        <v>16</v>
      </c>
      <c r="N883" t="s">
        <v>923</v>
      </c>
      <c r="O883">
        <f>_xlfn.XLOOKUP(customer_satisfaction_cleaned[[#This Row],[Product Category]],Table2[Product Category],Table2[Delivery SLA (Days)],"NA",0)</f>
        <v>5</v>
      </c>
      <c r="P8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84" spans="1:16" x14ac:dyDescent="0.2">
      <c r="A884" t="s">
        <v>871</v>
      </c>
      <c r="B884" t="s">
        <v>36</v>
      </c>
      <c r="C884">
        <v>8</v>
      </c>
      <c r="D884">
        <v>7</v>
      </c>
      <c r="E884" t="s">
        <v>13</v>
      </c>
      <c r="F884">
        <v>208.2</v>
      </c>
      <c r="G884">
        <v>8</v>
      </c>
      <c r="H884" t="s">
        <v>20</v>
      </c>
      <c r="I884" t="s">
        <v>13</v>
      </c>
      <c r="J884" t="s">
        <v>20</v>
      </c>
      <c r="K884">
        <v>208.2</v>
      </c>
      <c r="L884" t="s">
        <v>16</v>
      </c>
      <c r="M884" t="s">
        <v>16</v>
      </c>
      <c r="N884" t="s">
        <v>926</v>
      </c>
      <c r="O884" t="str">
        <f>_xlfn.XLOOKUP(customer_satisfaction_cleaned[[#This Row],[Product Category]],Table2[Product Category],Table2[Delivery SLA (Days)],"NA",0)</f>
        <v>NA</v>
      </c>
      <c r="P8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85" spans="1:16" x14ac:dyDescent="0.2">
      <c r="A885" t="s">
        <v>872</v>
      </c>
      <c r="B885" t="s">
        <v>36</v>
      </c>
      <c r="C885">
        <v>7</v>
      </c>
      <c r="D885">
        <v>3</v>
      </c>
      <c r="E885" t="s">
        <v>13</v>
      </c>
      <c r="F885">
        <v>43.37</v>
      </c>
      <c r="G885">
        <v>20</v>
      </c>
      <c r="H885" t="s">
        <v>34</v>
      </c>
      <c r="I885" t="s">
        <v>13</v>
      </c>
      <c r="J885" t="s">
        <v>25</v>
      </c>
      <c r="K885">
        <v>43.37</v>
      </c>
      <c r="L885" t="s">
        <v>16</v>
      </c>
      <c r="M885" t="s">
        <v>16</v>
      </c>
      <c r="N885" t="s">
        <v>924</v>
      </c>
      <c r="O885" t="str">
        <f>_xlfn.XLOOKUP(customer_satisfaction_cleaned[[#This Row],[Product Category]],Table2[Product Category],Table2[Delivery SLA (Days)],"NA",0)</f>
        <v>NA</v>
      </c>
      <c r="P8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86" spans="1:16" x14ac:dyDescent="0.2">
      <c r="A886" t="s">
        <v>873</v>
      </c>
      <c r="B886" t="s">
        <v>47</v>
      </c>
      <c r="C886">
        <v>8</v>
      </c>
      <c r="D886">
        <v>10</v>
      </c>
      <c r="E886" t="s">
        <v>21</v>
      </c>
      <c r="F886">
        <v>154.76</v>
      </c>
      <c r="G886">
        <v>29</v>
      </c>
      <c r="H886" t="s">
        <v>20</v>
      </c>
      <c r="I886" t="s">
        <v>21</v>
      </c>
      <c r="J886" t="s">
        <v>20</v>
      </c>
      <c r="K886">
        <v>154.76</v>
      </c>
      <c r="L886" t="s">
        <v>16</v>
      </c>
      <c r="M886" t="s">
        <v>16</v>
      </c>
      <c r="N886" t="s">
        <v>924</v>
      </c>
      <c r="O886">
        <f>_xlfn.XLOOKUP(customer_satisfaction_cleaned[[#This Row],[Product Category]],Table2[Product Category],Table2[Delivery SLA (Days)],"NA",0)</f>
        <v>7</v>
      </c>
      <c r="P8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87" spans="1:16" x14ac:dyDescent="0.2">
      <c r="A887" t="s">
        <v>874</v>
      </c>
      <c r="B887" t="s">
        <v>47</v>
      </c>
      <c r="C887">
        <v>4</v>
      </c>
      <c r="D887">
        <v>8</v>
      </c>
      <c r="E887" t="s">
        <v>32</v>
      </c>
      <c r="F887">
        <v>77.69</v>
      </c>
      <c r="G887">
        <v>51</v>
      </c>
      <c r="H887" t="s">
        <v>42</v>
      </c>
      <c r="I887" t="s">
        <v>13</v>
      </c>
      <c r="J887" t="s">
        <v>25</v>
      </c>
      <c r="K887">
        <v>77.69</v>
      </c>
      <c r="L887" t="s">
        <v>16</v>
      </c>
      <c r="M887" t="s">
        <v>16</v>
      </c>
      <c r="N887" t="s">
        <v>923</v>
      </c>
      <c r="O887">
        <f>_xlfn.XLOOKUP(customer_satisfaction_cleaned[[#This Row],[Product Category]],Table2[Product Category],Table2[Delivery SLA (Days)],"NA",0)</f>
        <v>7</v>
      </c>
      <c r="P8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88" spans="1:16" x14ac:dyDescent="0.2">
      <c r="A888" t="s">
        <v>875</v>
      </c>
      <c r="B888" t="s">
        <v>23</v>
      </c>
      <c r="C888">
        <v>6</v>
      </c>
      <c r="D888">
        <v>5</v>
      </c>
      <c r="E888" t="s">
        <v>13</v>
      </c>
      <c r="F888">
        <v>91.72</v>
      </c>
      <c r="G888">
        <v>21</v>
      </c>
      <c r="H888" t="s">
        <v>42</v>
      </c>
      <c r="I888" t="s">
        <v>13</v>
      </c>
      <c r="J888" t="s">
        <v>25</v>
      </c>
      <c r="K888">
        <v>91.72</v>
      </c>
      <c r="L888" t="s">
        <v>16</v>
      </c>
      <c r="M888" t="s">
        <v>16</v>
      </c>
      <c r="N888" t="s">
        <v>924</v>
      </c>
      <c r="O888">
        <f>_xlfn.XLOOKUP(customer_satisfaction_cleaned[[#This Row],[Product Category]],Table2[Product Category],Table2[Delivery SLA (Days)],"NA",0)</f>
        <v>7</v>
      </c>
      <c r="P8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9" spans="1:16" x14ac:dyDescent="0.2">
      <c r="A889" t="s">
        <v>876</v>
      </c>
      <c r="B889" t="s">
        <v>47</v>
      </c>
      <c r="C889">
        <v>5</v>
      </c>
      <c r="E889" t="s">
        <v>21</v>
      </c>
      <c r="F889">
        <v>126.67</v>
      </c>
      <c r="G889">
        <v>49</v>
      </c>
      <c r="H889" t="s">
        <v>15</v>
      </c>
      <c r="I889" t="s">
        <v>21</v>
      </c>
      <c r="J889" t="s">
        <v>15</v>
      </c>
      <c r="K889">
        <v>126.67</v>
      </c>
      <c r="L889" t="s">
        <v>16</v>
      </c>
      <c r="M889" t="s">
        <v>937</v>
      </c>
      <c r="N889" t="s">
        <v>923</v>
      </c>
      <c r="O889">
        <f>_xlfn.XLOOKUP(customer_satisfaction_cleaned[[#This Row],[Product Category]],Table2[Product Category],Table2[Delivery SLA (Days)],"NA",0)</f>
        <v>7</v>
      </c>
      <c r="P8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90" spans="1:16" x14ac:dyDescent="0.2">
      <c r="A890" t="s">
        <v>877</v>
      </c>
      <c r="B890" t="s">
        <v>18</v>
      </c>
      <c r="C890">
        <v>1</v>
      </c>
      <c r="D890">
        <v>3</v>
      </c>
      <c r="E890" t="s">
        <v>13</v>
      </c>
      <c r="F890">
        <v>119.58</v>
      </c>
      <c r="G890">
        <v>48</v>
      </c>
      <c r="H890" t="s">
        <v>34</v>
      </c>
      <c r="I890" t="s">
        <v>13</v>
      </c>
      <c r="J890" t="s">
        <v>25</v>
      </c>
      <c r="K890">
        <v>119.58</v>
      </c>
      <c r="L890" t="s">
        <v>16</v>
      </c>
      <c r="M890" t="s">
        <v>16</v>
      </c>
      <c r="N890" t="s">
        <v>923</v>
      </c>
      <c r="O890">
        <f>_xlfn.XLOOKUP(customer_satisfaction_cleaned[[#This Row],[Product Category]],Table2[Product Category],Table2[Delivery SLA (Days)],"NA",0)</f>
        <v>10</v>
      </c>
      <c r="P8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1" spans="1:16" x14ac:dyDescent="0.2">
      <c r="A891" t="s">
        <v>878</v>
      </c>
      <c r="B891" t="s">
        <v>12</v>
      </c>
      <c r="C891">
        <v>8</v>
      </c>
      <c r="D891">
        <v>3</v>
      </c>
      <c r="E891" t="s">
        <v>32</v>
      </c>
      <c r="F891">
        <v>125.37</v>
      </c>
      <c r="G891">
        <v>59</v>
      </c>
      <c r="H891" t="s">
        <v>24</v>
      </c>
      <c r="I891" t="s">
        <v>13</v>
      </c>
      <c r="J891" t="s">
        <v>25</v>
      </c>
      <c r="K891">
        <v>125.37</v>
      </c>
      <c r="L891" t="s">
        <v>16</v>
      </c>
      <c r="M891" t="s">
        <v>16</v>
      </c>
      <c r="N891" t="s">
        <v>923</v>
      </c>
      <c r="O891">
        <f>_xlfn.XLOOKUP(customer_satisfaction_cleaned[[#This Row],[Product Category]],Table2[Product Category],Table2[Delivery SLA (Days)],"NA",0)</f>
        <v>5</v>
      </c>
      <c r="P8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2" spans="1:16" x14ac:dyDescent="0.2">
      <c r="A892" t="s">
        <v>879</v>
      </c>
      <c r="B892" t="s">
        <v>47</v>
      </c>
      <c r="C892">
        <v>6</v>
      </c>
      <c r="D892">
        <v>7</v>
      </c>
      <c r="E892" t="s">
        <v>13</v>
      </c>
      <c r="F892">
        <v>222.08</v>
      </c>
      <c r="G892">
        <v>33</v>
      </c>
      <c r="H892" t="s">
        <v>15</v>
      </c>
      <c r="I892" t="s">
        <v>13</v>
      </c>
      <c r="J892" t="s">
        <v>15</v>
      </c>
      <c r="K892">
        <v>222.08</v>
      </c>
      <c r="L892" t="s">
        <v>16</v>
      </c>
      <c r="M892" t="s">
        <v>16</v>
      </c>
      <c r="N892" t="s">
        <v>923</v>
      </c>
      <c r="O892">
        <f>_xlfn.XLOOKUP(customer_satisfaction_cleaned[[#This Row],[Product Category]],Table2[Product Category],Table2[Delivery SLA (Days)],"NA",0)</f>
        <v>7</v>
      </c>
      <c r="P8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3" spans="1:16" x14ac:dyDescent="0.2">
      <c r="A893" t="s">
        <v>880</v>
      </c>
      <c r="B893" t="s">
        <v>12</v>
      </c>
      <c r="C893">
        <v>8</v>
      </c>
      <c r="D893">
        <v>5</v>
      </c>
      <c r="E893" t="s">
        <v>19</v>
      </c>
      <c r="F893">
        <v>95.6</v>
      </c>
      <c r="G893">
        <v>29</v>
      </c>
      <c r="H893" t="s">
        <v>29</v>
      </c>
      <c r="I893" t="s">
        <v>21</v>
      </c>
      <c r="J893" t="s">
        <v>25</v>
      </c>
      <c r="K893">
        <v>95.6</v>
      </c>
      <c r="L893" t="s">
        <v>16</v>
      </c>
      <c r="M893" t="s">
        <v>16</v>
      </c>
      <c r="N893" t="s">
        <v>924</v>
      </c>
      <c r="O893">
        <f>_xlfn.XLOOKUP(customer_satisfaction_cleaned[[#This Row],[Product Category]],Table2[Product Category],Table2[Delivery SLA (Days)],"NA",0)</f>
        <v>5</v>
      </c>
      <c r="P8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4" spans="1:16" x14ac:dyDescent="0.2">
      <c r="A894" t="s">
        <v>881</v>
      </c>
      <c r="B894" t="s">
        <v>23</v>
      </c>
      <c r="C894">
        <v>7</v>
      </c>
      <c r="D894">
        <v>7</v>
      </c>
      <c r="E894" t="s">
        <v>32</v>
      </c>
      <c r="F894">
        <v>89.49</v>
      </c>
      <c r="G894">
        <v>50</v>
      </c>
      <c r="H894" t="s">
        <v>24</v>
      </c>
      <c r="I894" t="s">
        <v>13</v>
      </c>
      <c r="J894" t="s">
        <v>25</v>
      </c>
      <c r="K894">
        <v>89.49</v>
      </c>
      <c r="L894" t="s">
        <v>16</v>
      </c>
      <c r="M894" t="s">
        <v>16</v>
      </c>
      <c r="N894" t="s">
        <v>923</v>
      </c>
      <c r="O894">
        <f>_xlfn.XLOOKUP(customer_satisfaction_cleaned[[#This Row],[Product Category]],Table2[Product Category],Table2[Delivery SLA (Days)],"NA",0)</f>
        <v>7</v>
      </c>
      <c r="P8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5" spans="1:16" x14ac:dyDescent="0.2">
      <c r="A895" t="s">
        <v>17</v>
      </c>
      <c r="B895" t="s">
        <v>23</v>
      </c>
      <c r="C895">
        <v>10</v>
      </c>
      <c r="D895">
        <v>3</v>
      </c>
      <c r="E895" t="s">
        <v>34</v>
      </c>
      <c r="F895">
        <v>40.81</v>
      </c>
      <c r="G895">
        <v>23</v>
      </c>
      <c r="H895" t="s">
        <v>29</v>
      </c>
      <c r="I895" t="s">
        <v>25</v>
      </c>
      <c r="J895" t="s">
        <v>25</v>
      </c>
      <c r="K895">
        <v>40.81</v>
      </c>
      <c r="L895" t="s">
        <v>16</v>
      </c>
      <c r="M895" t="s">
        <v>16</v>
      </c>
      <c r="N895" t="s">
        <v>924</v>
      </c>
      <c r="O895">
        <f>_xlfn.XLOOKUP(customer_satisfaction_cleaned[[#This Row],[Product Category]],Table2[Product Category],Table2[Delivery SLA (Days)],"NA",0)</f>
        <v>7</v>
      </c>
      <c r="P8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6" spans="1:16" x14ac:dyDescent="0.2">
      <c r="A896" t="s">
        <v>882</v>
      </c>
      <c r="B896" t="s">
        <v>47</v>
      </c>
      <c r="C896">
        <v>7</v>
      </c>
      <c r="D896">
        <v>6</v>
      </c>
      <c r="E896" t="s">
        <v>19</v>
      </c>
      <c r="F896">
        <v>102.59</v>
      </c>
      <c r="G896">
        <v>44</v>
      </c>
      <c r="H896" t="s">
        <v>14</v>
      </c>
      <c r="I896" t="s">
        <v>21</v>
      </c>
      <c r="J896" t="s">
        <v>15</v>
      </c>
      <c r="K896">
        <v>102.59</v>
      </c>
      <c r="L896" t="s">
        <v>16</v>
      </c>
      <c r="M896" t="s">
        <v>16</v>
      </c>
      <c r="N896" t="s">
        <v>923</v>
      </c>
      <c r="O896">
        <f>_xlfn.XLOOKUP(customer_satisfaction_cleaned[[#This Row],[Product Category]],Table2[Product Category],Table2[Delivery SLA (Days)],"NA",0)</f>
        <v>7</v>
      </c>
      <c r="P8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7" spans="1:16" x14ac:dyDescent="0.2">
      <c r="A897" t="s">
        <v>883</v>
      </c>
      <c r="B897" t="s">
        <v>18</v>
      </c>
      <c r="C897">
        <v>7</v>
      </c>
      <c r="D897">
        <v>7</v>
      </c>
      <c r="E897" t="s">
        <v>13</v>
      </c>
      <c r="F897">
        <v>67.19</v>
      </c>
      <c r="G897">
        <v>28</v>
      </c>
      <c r="H897" t="s">
        <v>15</v>
      </c>
      <c r="I897" t="s">
        <v>13</v>
      </c>
      <c r="J897" t="s">
        <v>15</v>
      </c>
      <c r="K897">
        <v>67.19</v>
      </c>
      <c r="L897" t="s">
        <v>16</v>
      </c>
      <c r="M897" t="s">
        <v>16</v>
      </c>
      <c r="N897" t="s">
        <v>924</v>
      </c>
      <c r="O897">
        <f>_xlfn.XLOOKUP(customer_satisfaction_cleaned[[#This Row],[Product Category]],Table2[Product Category],Table2[Delivery SLA (Days)],"NA",0)</f>
        <v>10</v>
      </c>
      <c r="P8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8" spans="1:16" x14ac:dyDescent="0.2">
      <c r="A898" t="s">
        <v>884</v>
      </c>
      <c r="B898" t="s">
        <v>18</v>
      </c>
      <c r="C898">
        <v>7</v>
      </c>
      <c r="D898">
        <v>4</v>
      </c>
      <c r="E898" t="s">
        <v>19</v>
      </c>
      <c r="F898">
        <v>100.82</v>
      </c>
      <c r="G898">
        <v>23</v>
      </c>
      <c r="H898" t="s">
        <v>44</v>
      </c>
      <c r="I898" t="s">
        <v>21</v>
      </c>
      <c r="J898" t="s">
        <v>20</v>
      </c>
      <c r="K898">
        <v>100.82</v>
      </c>
      <c r="L898" t="s">
        <v>16</v>
      </c>
      <c r="M898" t="s">
        <v>16</v>
      </c>
      <c r="N898" t="s">
        <v>924</v>
      </c>
      <c r="O898">
        <f>_xlfn.XLOOKUP(customer_satisfaction_cleaned[[#This Row],[Product Category]],Table2[Product Category],Table2[Delivery SLA (Days)],"NA",0)</f>
        <v>10</v>
      </c>
      <c r="P8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9" spans="1:16" x14ac:dyDescent="0.2">
      <c r="A899" t="s">
        <v>885</v>
      </c>
      <c r="B899" t="s">
        <v>47</v>
      </c>
      <c r="C899">
        <v>5</v>
      </c>
      <c r="D899">
        <v>5</v>
      </c>
      <c r="E899" t="s">
        <v>13</v>
      </c>
      <c r="F899">
        <v>89.33</v>
      </c>
      <c r="G899">
        <v>31</v>
      </c>
      <c r="H899" t="s">
        <v>24</v>
      </c>
      <c r="I899" t="s">
        <v>13</v>
      </c>
      <c r="J899" t="s">
        <v>25</v>
      </c>
      <c r="K899">
        <v>89.33</v>
      </c>
      <c r="L899" t="s">
        <v>16</v>
      </c>
      <c r="M899" t="s">
        <v>16</v>
      </c>
      <c r="N899" t="s">
        <v>923</v>
      </c>
      <c r="O899">
        <f>_xlfn.XLOOKUP(customer_satisfaction_cleaned[[#This Row],[Product Category]],Table2[Product Category],Table2[Delivery SLA (Days)],"NA",0)</f>
        <v>7</v>
      </c>
      <c r="P8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0" spans="1:16" x14ac:dyDescent="0.2">
      <c r="A900" t="s">
        <v>886</v>
      </c>
      <c r="B900" t="s">
        <v>36</v>
      </c>
      <c r="C900">
        <v>6</v>
      </c>
      <c r="D900">
        <v>7</v>
      </c>
      <c r="E900" t="s">
        <v>19</v>
      </c>
      <c r="F900">
        <v>106.55</v>
      </c>
      <c r="G900">
        <v>28</v>
      </c>
      <c r="H900" t="s">
        <v>14</v>
      </c>
      <c r="I900" t="s">
        <v>21</v>
      </c>
      <c r="J900" t="s">
        <v>15</v>
      </c>
      <c r="K900">
        <v>106.55</v>
      </c>
      <c r="L900" t="s">
        <v>16</v>
      </c>
      <c r="M900" t="s">
        <v>16</v>
      </c>
      <c r="N900" t="s">
        <v>924</v>
      </c>
      <c r="O900" t="str">
        <f>_xlfn.XLOOKUP(customer_satisfaction_cleaned[[#This Row],[Product Category]],Table2[Product Category],Table2[Delivery SLA (Days)],"NA",0)</f>
        <v>NA</v>
      </c>
      <c r="P9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901" spans="1:16" x14ac:dyDescent="0.2">
      <c r="A901" t="s">
        <v>17</v>
      </c>
      <c r="B901" t="s">
        <v>18</v>
      </c>
      <c r="C901">
        <v>6</v>
      </c>
      <c r="E901" t="s">
        <v>19</v>
      </c>
      <c r="F901">
        <v>77.849999999999994</v>
      </c>
      <c r="G901">
        <v>23</v>
      </c>
      <c r="H901" t="s">
        <v>44</v>
      </c>
      <c r="I901" t="s">
        <v>21</v>
      </c>
      <c r="J901" t="s">
        <v>20</v>
      </c>
      <c r="K901">
        <v>77.849999999999994</v>
      </c>
      <c r="L901" t="s">
        <v>16</v>
      </c>
      <c r="M901" t="s">
        <v>937</v>
      </c>
      <c r="N901" t="s">
        <v>924</v>
      </c>
      <c r="O901">
        <f>_xlfn.XLOOKUP(customer_satisfaction_cleaned[[#This Row],[Product Category]],Table2[Product Category],Table2[Delivery SLA (Days)],"NA",0)</f>
        <v>10</v>
      </c>
      <c r="P9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902" spans="1:16" x14ac:dyDescent="0.2">
      <c r="A902" t="s">
        <v>887</v>
      </c>
      <c r="B902" t="s">
        <v>18</v>
      </c>
      <c r="C902">
        <v>9</v>
      </c>
      <c r="D902">
        <v>5</v>
      </c>
      <c r="E902" t="s">
        <v>13</v>
      </c>
      <c r="F902">
        <v>43.37</v>
      </c>
      <c r="G902">
        <v>49</v>
      </c>
      <c r="H902" t="s">
        <v>44</v>
      </c>
      <c r="I902" t="s">
        <v>13</v>
      </c>
      <c r="J902" t="s">
        <v>20</v>
      </c>
      <c r="K902">
        <v>43.37</v>
      </c>
      <c r="L902" t="s">
        <v>16</v>
      </c>
      <c r="M902" t="s">
        <v>16</v>
      </c>
      <c r="N902" t="s">
        <v>923</v>
      </c>
      <c r="O902">
        <f>_xlfn.XLOOKUP(customer_satisfaction_cleaned[[#This Row],[Product Category]],Table2[Product Category],Table2[Delivery SLA (Days)],"NA",0)</f>
        <v>10</v>
      </c>
      <c r="P9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3" spans="1:16" x14ac:dyDescent="0.2">
      <c r="A903" t="s">
        <v>888</v>
      </c>
      <c r="B903" t="s">
        <v>18</v>
      </c>
      <c r="C903">
        <v>8</v>
      </c>
      <c r="D903">
        <v>4</v>
      </c>
      <c r="E903" t="s">
        <v>13</v>
      </c>
      <c r="F903">
        <v>126.95</v>
      </c>
      <c r="G903">
        <v>31</v>
      </c>
      <c r="H903" t="s">
        <v>14</v>
      </c>
      <c r="I903" t="s">
        <v>13</v>
      </c>
      <c r="J903" t="s">
        <v>15</v>
      </c>
      <c r="K903">
        <v>126.95</v>
      </c>
      <c r="L903" t="s">
        <v>16</v>
      </c>
      <c r="M903" t="s">
        <v>16</v>
      </c>
      <c r="N903" t="s">
        <v>923</v>
      </c>
      <c r="O903">
        <f>_xlfn.XLOOKUP(customer_satisfaction_cleaned[[#This Row],[Product Category]],Table2[Product Category],Table2[Delivery SLA (Days)],"NA",0)</f>
        <v>10</v>
      </c>
      <c r="P9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4" spans="1:16" x14ac:dyDescent="0.2">
      <c r="A904" t="s">
        <v>889</v>
      </c>
      <c r="B904" t="s">
        <v>23</v>
      </c>
      <c r="C904">
        <v>11</v>
      </c>
      <c r="D904">
        <v>3</v>
      </c>
      <c r="E904" t="s">
        <v>21</v>
      </c>
      <c r="F904">
        <v>74.87</v>
      </c>
      <c r="G904">
        <v>52</v>
      </c>
      <c r="H904" t="s">
        <v>29</v>
      </c>
      <c r="I904" t="s">
        <v>21</v>
      </c>
      <c r="J904" t="s">
        <v>25</v>
      </c>
      <c r="K904">
        <v>74.87</v>
      </c>
      <c r="L904" t="s">
        <v>16</v>
      </c>
      <c r="M904" t="s">
        <v>16</v>
      </c>
      <c r="N904" t="s">
        <v>923</v>
      </c>
      <c r="O904">
        <f>_xlfn.XLOOKUP(customer_satisfaction_cleaned[[#This Row],[Product Category]],Table2[Product Category],Table2[Delivery SLA (Days)],"NA",0)</f>
        <v>7</v>
      </c>
      <c r="P9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5" spans="1:16" x14ac:dyDescent="0.2">
      <c r="A905" t="s">
        <v>890</v>
      </c>
      <c r="B905" t="s">
        <v>23</v>
      </c>
      <c r="C905">
        <v>7</v>
      </c>
      <c r="D905">
        <v>8</v>
      </c>
      <c r="E905" t="s">
        <v>13</v>
      </c>
      <c r="F905">
        <v>103.64</v>
      </c>
      <c r="G905">
        <v>31</v>
      </c>
      <c r="H905" t="s">
        <v>20</v>
      </c>
      <c r="I905" t="s">
        <v>13</v>
      </c>
      <c r="J905" t="s">
        <v>20</v>
      </c>
      <c r="K905">
        <v>103.64</v>
      </c>
      <c r="L905" t="s">
        <v>16</v>
      </c>
      <c r="M905" t="s">
        <v>16</v>
      </c>
      <c r="N905" t="s">
        <v>923</v>
      </c>
      <c r="O905">
        <f>_xlfn.XLOOKUP(customer_satisfaction_cleaned[[#This Row],[Product Category]],Table2[Product Category],Table2[Delivery SLA (Days)],"NA",0)</f>
        <v>7</v>
      </c>
      <c r="P9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06" spans="1:16" x14ac:dyDescent="0.2">
      <c r="A906" t="s">
        <v>891</v>
      </c>
      <c r="B906" t="s">
        <v>47</v>
      </c>
      <c r="C906">
        <v>6</v>
      </c>
      <c r="D906">
        <v>8</v>
      </c>
      <c r="E906" t="s">
        <v>19</v>
      </c>
      <c r="F906">
        <v>57.98</v>
      </c>
      <c r="G906">
        <v>29</v>
      </c>
      <c r="H906" t="s">
        <v>20</v>
      </c>
      <c r="I906" t="s">
        <v>21</v>
      </c>
      <c r="J906" t="s">
        <v>20</v>
      </c>
      <c r="K906">
        <v>57.98</v>
      </c>
      <c r="L906" t="s">
        <v>16</v>
      </c>
      <c r="M906" t="s">
        <v>16</v>
      </c>
      <c r="N906" t="s">
        <v>924</v>
      </c>
      <c r="O906">
        <f>_xlfn.XLOOKUP(customer_satisfaction_cleaned[[#This Row],[Product Category]],Table2[Product Category],Table2[Delivery SLA (Days)],"NA",0)</f>
        <v>7</v>
      </c>
      <c r="P9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07" spans="1:16" x14ac:dyDescent="0.2">
      <c r="A907" t="s">
        <v>892</v>
      </c>
      <c r="B907" t="s">
        <v>47</v>
      </c>
      <c r="C907">
        <v>11</v>
      </c>
      <c r="D907">
        <v>0</v>
      </c>
      <c r="E907" t="s">
        <v>29</v>
      </c>
      <c r="F907">
        <v>105.98</v>
      </c>
      <c r="G907">
        <v>46</v>
      </c>
      <c r="H907" t="s">
        <v>20</v>
      </c>
      <c r="I907" t="s">
        <v>25</v>
      </c>
      <c r="J907" t="s">
        <v>20</v>
      </c>
      <c r="K907">
        <v>105.98</v>
      </c>
      <c r="L907" t="s">
        <v>16</v>
      </c>
      <c r="M907" t="s">
        <v>16</v>
      </c>
      <c r="N907" t="s">
        <v>923</v>
      </c>
      <c r="O907">
        <f>_xlfn.XLOOKUP(customer_satisfaction_cleaned[[#This Row],[Product Category]],Table2[Product Category],Table2[Delivery SLA (Days)],"NA",0)</f>
        <v>7</v>
      </c>
      <c r="P9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8" spans="1:16" x14ac:dyDescent="0.2">
      <c r="A908" t="s">
        <v>893</v>
      </c>
      <c r="B908" t="s">
        <v>18</v>
      </c>
      <c r="C908">
        <v>7</v>
      </c>
      <c r="D908">
        <v>7</v>
      </c>
      <c r="E908" t="s">
        <v>32</v>
      </c>
      <c r="F908">
        <v>145.87</v>
      </c>
      <c r="G908">
        <v>31</v>
      </c>
      <c r="H908" t="s">
        <v>14</v>
      </c>
      <c r="I908" t="s">
        <v>13</v>
      </c>
      <c r="J908" t="s">
        <v>15</v>
      </c>
      <c r="K908">
        <v>145.87</v>
      </c>
      <c r="L908" t="s">
        <v>16</v>
      </c>
      <c r="M908" t="s">
        <v>16</v>
      </c>
      <c r="N908" t="s">
        <v>923</v>
      </c>
      <c r="O908">
        <f>_xlfn.XLOOKUP(customer_satisfaction_cleaned[[#This Row],[Product Category]],Table2[Product Category],Table2[Delivery SLA (Days)],"NA",0)</f>
        <v>10</v>
      </c>
      <c r="P9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9" spans="1:16" x14ac:dyDescent="0.2">
      <c r="A909" t="s">
        <v>894</v>
      </c>
      <c r="B909" t="s">
        <v>36</v>
      </c>
      <c r="C909">
        <v>6</v>
      </c>
      <c r="D909">
        <v>5</v>
      </c>
      <c r="E909" t="s">
        <v>21</v>
      </c>
      <c r="F909">
        <v>108.86</v>
      </c>
      <c r="G909">
        <v>31</v>
      </c>
      <c r="H909" t="s">
        <v>29</v>
      </c>
      <c r="I909" t="s">
        <v>21</v>
      </c>
      <c r="J909" t="s">
        <v>25</v>
      </c>
      <c r="K909">
        <v>108.86</v>
      </c>
      <c r="L909" t="s">
        <v>16</v>
      </c>
      <c r="M909" t="s">
        <v>16</v>
      </c>
      <c r="N909" t="s">
        <v>923</v>
      </c>
      <c r="O909" t="str">
        <f>_xlfn.XLOOKUP(customer_satisfaction_cleaned[[#This Row],[Product Category]],Table2[Product Category],Table2[Delivery SLA (Days)],"NA",0)</f>
        <v>NA</v>
      </c>
      <c r="P9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910" spans="1:16" x14ac:dyDescent="0.2">
      <c r="A910" t="s">
        <v>895</v>
      </c>
      <c r="B910" t="s">
        <v>47</v>
      </c>
      <c r="C910">
        <v>5</v>
      </c>
      <c r="D910">
        <v>6</v>
      </c>
      <c r="E910" t="s">
        <v>21</v>
      </c>
      <c r="F910">
        <v>50.95</v>
      </c>
      <c r="G910">
        <v>48</v>
      </c>
      <c r="H910" t="s">
        <v>42</v>
      </c>
      <c r="I910" t="s">
        <v>21</v>
      </c>
      <c r="J910" t="s">
        <v>25</v>
      </c>
      <c r="K910">
        <v>50.95</v>
      </c>
      <c r="L910" t="s">
        <v>16</v>
      </c>
      <c r="M910" t="s">
        <v>16</v>
      </c>
      <c r="N910" t="s">
        <v>923</v>
      </c>
      <c r="O910">
        <f>_xlfn.XLOOKUP(customer_satisfaction_cleaned[[#This Row],[Product Category]],Table2[Product Category],Table2[Delivery SLA (Days)],"NA",0)</f>
        <v>7</v>
      </c>
      <c r="P9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1" spans="1:16" x14ac:dyDescent="0.2">
      <c r="A911" t="s">
        <v>896</v>
      </c>
      <c r="B911" t="s">
        <v>12</v>
      </c>
      <c r="C911">
        <v>7</v>
      </c>
      <c r="D911">
        <v>1</v>
      </c>
      <c r="E911" t="s">
        <v>13</v>
      </c>
      <c r="F911">
        <v>13.31</v>
      </c>
      <c r="G911">
        <v>18</v>
      </c>
      <c r="H911" t="s">
        <v>34</v>
      </c>
      <c r="I911" t="s">
        <v>13</v>
      </c>
      <c r="J911" t="s">
        <v>25</v>
      </c>
      <c r="K911">
        <v>13.31</v>
      </c>
      <c r="L911" t="s">
        <v>16</v>
      </c>
      <c r="M911" t="s">
        <v>16</v>
      </c>
      <c r="N911" t="s">
        <v>924</v>
      </c>
      <c r="O911">
        <f>_xlfn.XLOOKUP(customer_satisfaction_cleaned[[#This Row],[Product Category]],Table2[Product Category],Table2[Delivery SLA (Days)],"NA",0)</f>
        <v>5</v>
      </c>
      <c r="P9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2" spans="1:16" x14ac:dyDescent="0.2">
      <c r="A912" t="s">
        <v>897</v>
      </c>
      <c r="B912" t="s">
        <v>12</v>
      </c>
      <c r="C912">
        <v>5</v>
      </c>
      <c r="D912">
        <v>5</v>
      </c>
      <c r="E912" t="s">
        <v>13</v>
      </c>
      <c r="F912">
        <v>119.1</v>
      </c>
      <c r="G912">
        <v>27</v>
      </c>
      <c r="H912" t="s">
        <v>42</v>
      </c>
      <c r="I912" t="s">
        <v>13</v>
      </c>
      <c r="J912" t="s">
        <v>25</v>
      </c>
      <c r="K912">
        <v>119.1</v>
      </c>
      <c r="L912" t="s">
        <v>16</v>
      </c>
      <c r="M912" t="s">
        <v>16</v>
      </c>
      <c r="N912" t="s">
        <v>924</v>
      </c>
      <c r="O912">
        <f>_xlfn.XLOOKUP(customer_satisfaction_cleaned[[#This Row],[Product Category]],Table2[Product Category],Table2[Delivery SLA (Days)],"NA",0)</f>
        <v>5</v>
      </c>
      <c r="P9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3" spans="1:16" x14ac:dyDescent="0.2">
      <c r="A913" t="s">
        <v>898</v>
      </c>
      <c r="B913" t="s">
        <v>12</v>
      </c>
      <c r="C913">
        <v>11</v>
      </c>
      <c r="D913">
        <v>6</v>
      </c>
      <c r="E913" t="s">
        <v>21</v>
      </c>
      <c r="F913">
        <v>56.49</v>
      </c>
      <c r="G913">
        <v>6</v>
      </c>
      <c r="H913" t="s">
        <v>29</v>
      </c>
      <c r="I913" t="s">
        <v>21</v>
      </c>
      <c r="J913" t="s">
        <v>25</v>
      </c>
      <c r="K913">
        <v>56.49</v>
      </c>
      <c r="L913" t="s">
        <v>16</v>
      </c>
      <c r="M913" t="s">
        <v>16</v>
      </c>
      <c r="N913" t="s">
        <v>926</v>
      </c>
      <c r="O913">
        <f>_xlfn.XLOOKUP(customer_satisfaction_cleaned[[#This Row],[Product Category]],Table2[Product Category],Table2[Delivery SLA (Days)],"NA",0)</f>
        <v>5</v>
      </c>
      <c r="P9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14" spans="1:16" x14ac:dyDescent="0.2">
      <c r="A914" t="s">
        <v>899</v>
      </c>
      <c r="B914" t="s">
        <v>47</v>
      </c>
      <c r="C914">
        <v>9</v>
      </c>
      <c r="D914">
        <v>2</v>
      </c>
      <c r="E914" t="s">
        <v>19</v>
      </c>
      <c r="F914">
        <v>72.53</v>
      </c>
      <c r="H914" t="s">
        <v>34</v>
      </c>
      <c r="I914" t="s">
        <v>21</v>
      </c>
      <c r="J914" t="s">
        <v>25</v>
      </c>
      <c r="K914">
        <v>72.53</v>
      </c>
      <c r="L914" t="s">
        <v>16</v>
      </c>
      <c r="M914" t="s">
        <v>16</v>
      </c>
      <c r="N914" t="s">
        <v>922</v>
      </c>
      <c r="O914">
        <f>_xlfn.XLOOKUP(customer_satisfaction_cleaned[[#This Row],[Product Category]],Table2[Product Category],Table2[Delivery SLA (Days)],"NA",0)</f>
        <v>7</v>
      </c>
      <c r="P9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5" spans="1:16" x14ac:dyDescent="0.2">
      <c r="A915" t="s">
        <v>900</v>
      </c>
      <c r="B915" t="s">
        <v>18</v>
      </c>
      <c r="C915">
        <v>8</v>
      </c>
      <c r="E915" t="s">
        <v>19</v>
      </c>
      <c r="F915">
        <v>110</v>
      </c>
      <c r="G915">
        <v>31</v>
      </c>
      <c r="H915" t="s">
        <v>44</v>
      </c>
      <c r="I915" t="s">
        <v>21</v>
      </c>
      <c r="J915" t="s">
        <v>20</v>
      </c>
      <c r="K915">
        <v>110</v>
      </c>
      <c r="L915" t="s">
        <v>16</v>
      </c>
      <c r="M915" t="s">
        <v>937</v>
      </c>
      <c r="N915" t="s">
        <v>923</v>
      </c>
      <c r="O915">
        <f>_xlfn.XLOOKUP(customer_satisfaction_cleaned[[#This Row],[Product Category]],Table2[Product Category],Table2[Delivery SLA (Days)],"NA",0)</f>
        <v>10</v>
      </c>
      <c r="P9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916" spans="1:16" x14ac:dyDescent="0.2">
      <c r="A916" t="s">
        <v>901</v>
      </c>
      <c r="B916" t="s">
        <v>23</v>
      </c>
      <c r="C916">
        <v>7</v>
      </c>
      <c r="D916">
        <v>5</v>
      </c>
      <c r="E916" t="s">
        <v>32</v>
      </c>
      <c r="F916">
        <v>43.11</v>
      </c>
      <c r="G916">
        <v>26</v>
      </c>
      <c r="H916" t="s">
        <v>15</v>
      </c>
      <c r="I916" t="s">
        <v>13</v>
      </c>
      <c r="J916" t="s">
        <v>15</v>
      </c>
      <c r="K916">
        <v>43.11</v>
      </c>
      <c r="L916" t="s">
        <v>16</v>
      </c>
      <c r="M916" t="s">
        <v>16</v>
      </c>
      <c r="N916" t="s">
        <v>924</v>
      </c>
      <c r="O916">
        <f>_xlfn.XLOOKUP(customer_satisfaction_cleaned[[#This Row],[Product Category]],Table2[Product Category],Table2[Delivery SLA (Days)],"NA",0)</f>
        <v>7</v>
      </c>
      <c r="P9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7" spans="1:16" x14ac:dyDescent="0.2">
      <c r="A917" t="s">
        <v>902</v>
      </c>
      <c r="B917" t="s">
        <v>18</v>
      </c>
      <c r="C917">
        <v>9</v>
      </c>
      <c r="D917">
        <v>8</v>
      </c>
      <c r="E917" t="s">
        <v>32</v>
      </c>
      <c r="F917">
        <v>105.47</v>
      </c>
      <c r="G917">
        <v>45</v>
      </c>
      <c r="H917" t="s">
        <v>29</v>
      </c>
      <c r="I917" t="s">
        <v>13</v>
      </c>
      <c r="J917" t="s">
        <v>25</v>
      </c>
      <c r="K917">
        <v>105.47</v>
      </c>
      <c r="L917" t="s">
        <v>16</v>
      </c>
      <c r="M917" t="s">
        <v>16</v>
      </c>
      <c r="N917" t="s">
        <v>923</v>
      </c>
      <c r="O917">
        <f>_xlfn.XLOOKUP(customer_satisfaction_cleaned[[#This Row],[Product Category]],Table2[Product Category],Table2[Delivery SLA (Days)],"NA",0)</f>
        <v>10</v>
      </c>
      <c r="P9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8" spans="1:16" x14ac:dyDescent="0.2">
      <c r="A918" t="s">
        <v>903</v>
      </c>
      <c r="B918" t="s">
        <v>47</v>
      </c>
      <c r="E918" t="s">
        <v>29</v>
      </c>
      <c r="F918">
        <v>187.29</v>
      </c>
      <c r="G918">
        <v>17</v>
      </c>
      <c r="H918" t="s">
        <v>14</v>
      </c>
      <c r="I918" t="s">
        <v>25</v>
      </c>
      <c r="J918" t="s">
        <v>15</v>
      </c>
      <c r="K918">
        <v>187.29</v>
      </c>
      <c r="L918" t="s">
        <v>936</v>
      </c>
      <c r="M918" t="s">
        <v>937</v>
      </c>
      <c r="N918" t="s">
        <v>924</v>
      </c>
      <c r="O918">
        <f>_xlfn.XLOOKUP(customer_satisfaction_cleaned[[#This Row],[Product Category]],Table2[Product Category],Table2[Delivery SLA (Days)],"NA",0)</f>
        <v>7</v>
      </c>
      <c r="P9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919" spans="1:16" x14ac:dyDescent="0.2">
      <c r="A919" t="s">
        <v>145</v>
      </c>
      <c r="B919" t="s">
        <v>23</v>
      </c>
      <c r="C919">
        <v>9</v>
      </c>
      <c r="D919">
        <v>9</v>
      </c>
      <c r="E919" t="s">
        <v>34</v>
      </c>
      <c r="F919">
        <v>84.4</v>
      </c>
      <c r="G919">
        <v>30</v>
      </c>
      <c r="H919" t="s">
        <v>24</v>
      </c>
      <c r="I919" t="s">
        <v>25</v>
      </c>
      <c r="J919" t="s">
        <v>25</v>
      </c>
      <c r="K919">
        <v>84.4</v>
      </c>
      <c r="L919" t="s">
        <v>16</v>
      </c>
      <c r="M919" t="s">
        <v>16</v>
      </c>
      <c r="N919" t="s">
        <v>923</v>
      </c>
      <c r="O919">
        <f>_xlfn.XLOOKUP(customer_satisfaction_cleaned[[#This Row],[Product Category]],Table2[Product Category],Table2[Delivery SLA (Days)],"NA",0)</f>
        <v>7</v>
      </c>
      <c r="P9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20" spans="1:16" x14ac:dyDescent="0.2">
      <c r="A920" t="s">
        <v>904</v>
      </c>
      <c r="B920" t="s">
        <v>47</v>
      </c>
      <c r="C920">
        <v>5</v>
      </c>
      <c r="D920">
        <v>3</v>
      </c>
      <c r="E920" t="s">
        <v>29</v>
      </c>
      <c r="F920">
        <v>101.05</v>
      </c>
      <c r="G920">
        <v>59</v>
      </c>
      <c r="H920" t="s">
        <v>15</v>
      </c>
      <c r="I920" t="s">
        <v>25</v>
      </c>
      <c r="J920" t="s">
        <v>15</v>
      </c>
      <c r="K920">
        <v>101.05</v>
      </c>
      <c r="L920" t="s">
        <v>16</v>
      </c>
      <c r="M920" t="s">
        <v>16</v>
      </c>
      <c r="N920" t="s">
        <v>923</v>
      </c>
      <c r="O920">
        <f>_xlfn.XLOOKUP(customer_satisfaction_cleaned[[#This Row],[Product Category]],Table2[Product Category],Table2[Delivery SLA (Days)],"NA",0)</f>
        <v>7</v>
      </c>
      <c r="P9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1" spans="1:16" x14ac:dyDescent="0.2">
      <c r="A921" t="s">
        <v>905</v>
      </c>
      <c r="B921" t="s">
        <v>18</v>
      </c>
      <c r="C921">
        <v>10</v>
      </c>
      <c r="D921">
        <v>4</v>
      </c>
      <c r="E921" t="s">
        <v>21</v>
      </c>
      <c r="F921">
        <v>176.46</v>
      </c>
      <c r="H921" t="s">
        <v>20</v>
      </c>
      <c r="I921" t="s">
        <v>21</v>
      </c>
      <c r="J921" t="s">
        <v>20</v>
      </c>
      <c r="K921">
        <v>176.46</v>
      </c>
      <c r="L921" t="s">
        <v>16</v>
      </c>
      <c r="M921" t="s">
        <v>16</v>
      </c>
      <c r="N921" t="s">
        <v>922</v>
      </c>
      <c r="O921">
        <f>_xlfn.XLOOKUP(customer_satisfaction_cleaned[[#This Row],[Product Category]],Table2[Product Category],Table2[Delivery SLA (Days)],"NA",0)</f>
        <v>10</v>
      </c>
      <c r="P9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2" spans="1:16" x14ac:dyDescent="0.2">
      <c r="A922" t="s">
        <v>906</v>
      </c>
      <c r="B922" t="s">
        <v>23</v>
      </c>
      <c r="C922">
        <v>6</v>
      </c>
      <c r="D922">
        <v>3</v>
      </c>
      <c r="E922" t="s">
        <v>13</v>
      </c>
      <c r="F922">
        <v>66.16</v>
      </c>
      <c r="H922" t="s">
        <v>15</v>
      </c>
      <c r="I922" t="s">
        <v>13</v>
      </c>
      <c r="J922" t="s">
        <v>15</v>
      </c>
      <c r="K922">
        <v>66.16</v>
      </c>
      <c r="L922" t="s">
        <v>16</v>
      </c>
      <c r="M922" t="s">
        <v>16</v>
      </c>
      <c r="N922" t="s">
        <v>922</v>
      </c>
      <c r="O922">
        <f>_xlfn.XLOOKUP(customer_satisfaction_cleaned[[#This Row],[Product Category]],Table2[Product Category],Table2[Delivery SLA (Days)],"NA",0)</f>
        <v>7</v>
      </c>
      <c r="P9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3" spans="1:16" x14ac:dyDescent="0.2">
      <c r="A923" t="s">
        <v>907</v>
      </c>
      <c r="B923" t="s">
        <v>23</v>
      </c>
      <c r="C923">
        <v>11</v>
      </c>
      <c r="D923">
        <v>5</v>
      </c>
      <c r="E923" t="s">
        <v>32</v>
      </c>
      <c r="F923">
        <v>82.06</v>
      </c>
      <c r="G923">
        <v>52</v>
      </c>
      <c r="H923" t="s">
        <v>29</v>
      </c>
      <c r="I923" t="s">
        <v>13</v>
      </c>
      <c r="J923" t="s">
        <v>25</v>
      </c>
      <c r="K923">
        <v>82.06</v>
      </c>
      <c r="L923" t="s">
        <v>16</v>
      </c>
      <c r="M923" t="s">
        <v>16</v>
      </c>
      <c r="N923" t="s">
        <v>923</v>
      </c>
      <c r="O923">
        <f>_xlfn.XLOOKUP(customer_satisfaction_cleaned[[#This Row],[Product Category]],Table2[Product Category],Table2[Delivery SLA (Days)],"NA",0)</f>
        <v>7</v>
      </c>
      <c r="P9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4" spans="1:16" x14ac:dyDescent="0.2">
      <c r="A924" t="s">
        <v>908</v>
      </c>
      <c r="B924" t="s">
        <v>47</v>
      </c>
      <c r="C924">
        <v>10</v>
      </c>
      <c r="D924">
        <v>6</v>
      </c>
      <c r="E924" t="s">
        <v>19</v>
      </c>
      <c r="F924">
        <v>86.79</v>
      </c>
      <c r="G924">
        <v>26</v>
      </c>
      <c r="H924" t="s">
        <v>24</v>
      </c>
      <c r="I924" t="s">
        <v>21</v>
      </c>
      <c r="J924" t="s">
        <v>25</v>
      </c>
      <c r="K924">
        <v>86.79</v>
      </c>
      <c r="L924" t="s">
        <v>16</v>
      </c>
      <c r="M924" t="s">
        <v>16</v>
      </c>
      <c r="N924" t="s">
        <v>924</v>
      </c>
      <c r="O924">
        <f>_xlfn.XLOOKUP(customer_satisfaction_cleaned[[#This Row],[Product Category]],Table2[Product Category],Table2[Delivery SLA (Days)],"NA",0)</f>
        <v>7</v>
      </c>
      <c r="P9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5" spans="1:16" x14ac:dyDescent="0.2">
      <c r="A925" t="s">
        <v>17</v>
      </c>
      <c r="B925" t="s">
        <v>12</v>
      </c>
      <c r="C925">
        <v>7</v>
      </c>
      <c r="D925">
        <v>6</v>
      </c>
      <c r="E925" t="s">
        <v>13</v>
      </c>
      <c r="F925">
        <v>96.77</v>
      </c>
      <c r="G925">
        <v>33</v>
      </c>
      <c r="H925" t="s">
        <v>29</v>
      </c>
      <c r="I925" t="s">
        <v>13</v>
      </c>
      <c r="J925" t="s">
        <v>25</v>
      </c>
      <c r="K925">
        <v>96.77</v>
      </c>
      <c r="L925" t="s">
        <v>16</v>
      </c>
      <c r="M925" t="s">
        <v>16</v>
      </c>
      <c r="N925" t="s">
        <v>923</v>
      </c>
      <c r="O925">
        <f>_xlfn.XLOOKUP(customer_satisfaction_cleaned[[#This Row],[Product Category]],Table2[Product Category],Table2[Delivery SLA (Days)],"NA",0)</f>
        <v>5</v>
      </c>
      <c r="P9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26" spans="1:16" x14ac:dyDescent="0.2">
      <c r="A926" t="s">
        <v>909</v>
      </c>
      <c r="B926" t="s">
        <v>12</v>
      </c>
      <c r="D926">
        <v>5</v>
      </c>
      <c r="E926" t="s">
        <v>32</v>
      </c>
      <c r="F926">
        <v>8.26</v>
      </c>
      <c r="G926">
        <v>25</v>
      </c>
      <c r="H926" t="s">
        <v>20</v>
      </c>
      <c r="I926" t="s">
        <v>13</v>
      </c>
      <c r="J926" t="s">
        <v>20</v>
      </c>
      <c r="K926">
        <v>8.26</v>
      </c>
      <c r="L926" t="s">
        <v>936</v>
      </c>
      <c r="M926" t="s">
        <v>16</v>
      </c>
      <c r="N926" t="s">
        <v>924</v>
      </c>
      <c r="O926">
        <f>_xlfn.XLOOKUP(customer_satisfaction_cleaned[[#This Row],[Product Category]],Table2[Product Category],Table2[Delivery SLA (Days)],"NA",0)</f>
        <v>5</v>
      </c>
      <c r="P9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7" spans="1:16" x14ac:dyDescent="0.2">
      <c r="A927" t="s">
        <v>17</v>
      </c>
      <c r="B927" t="s">
        <v>47</v>
      </c>
      <c r="C927">
        <v>8</v>
      </c>
      <c r="D927">
        <v>3</v>
      </c>
      <c r="E927" t="s">
        <v>13</v>
      </c>
      <c r="F927">
        <v>44.11</v>
      </c>
      <c r="H927" t="s">
        <v>20</v>
      </c>
      <c r="I927" t="s">
        <v>13</v>
      </c>
      <c r="J927" t="s">
        <v>20</v>
      </c>
      <c r="K927">
        <v>44.11</v>
      </c>
      <c r="L927" t="s">
        <v>16</v>
      </c>
      <c r="M927" t="s">
        <v>16</v>
      </c>
      <c r="N927" t="s">
        <v>922</v>
      </c>
      <c r="O927">
        <f>_xlfn.XLOOKUP(customer_satisfaction_cleaned[[#This Row],[Product Category]],Table2[Product Category],Table2[Delivery SLA (Days)],"NA",0)</f>
        <v>7</v>
      </c>
      <c r="P9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8" spans="1:16" x14ac:dyDescent="0.2">
      <c r="A928" t="s">
        <v>17</v>
      </c>
      <c r="B928" t="s">
        <v>12</v>
      </c>
      <c r="C928">
        <v>6</v>
      </c>
      <c r="D928">
        <v>6</v>
      </c>
      <c r="E928" t="s">
        <v>19</v>
      </c>
      <c r="F928">
        <v>105.52</v>
      </c>
      <c r="G928">
        <v>35</v>
      </c>
      <c r="H928" t="s">
        <v>29</v>
      </c>
      <c r="I928" t="s">
        <v>21</v>
      </c>
      <c r="J928" t="s">
        <v>25</v>
      </c>
      <c r="K928">
        <v>105.52</v>
      </c>
      <c r="L928" t="s">
        <v>16</v>
      </c>
      <c r="M928" t="s">
        <v>16</v>
      </c>
      <c r="N928" t="s">
        <v>923</v>
      </c>
      <c r="O928">
        <f>_xlfn.XLOOKUP(customer_satisfaction_cleaned[[#This Row],[Product Category]],Table2[Product Category],Table2[Delivery SLA (Days)],"NA",0)</f>
        <v>5</v>
      </c>
      <c r="P9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29" spans="1:16" x14ac:dyDescent="0.2">
      <c r="A929" t="s">
        <v>910</v>
      </c>
      <c r="B929" t="s">
        <v>12</v>
      </c>
      <c r="C929">
        <v>4</v>
      </c>
      <c r="D929">
        <v>6</v>
      </c>
      <c r="E929" t="s">
        <v>19</v>
      </c>
      <c r="F929">
        <v>58.34</v>
      </c>
      <c r="G929">
        <v>15</v>
      </c>
      <c r="H929" t="s">
        <v>29</v>
      </c>
      <c r="I929" t="s">
        <v>21</v>
      </c>
      <c r="J929" t="s">
        <v>25</v>
      </c>
      <c r="K929">
        <v>58.34</v>
      </c>
      <c r="L929" t="s">
        <v>16</v>
      </c>
      <c r="M929" t="s">
        <v>16</v>
      </c>
      <c r="N929" t="s">
        <v>924</v>
      </c>
      <c r="O929">
        <f>_xlfn.XLOOKUP(customer_satisfaction_cleaned[[#This Row],[Product Category]],Table2[Product Category],Table2[Delivery SLA (Days)],"NA",0)</f>
        <v>5</v>
      </c>
      <c r="P9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30" spans="1:16" x14ac:dyDescent="0.2">
      <c r="A930" t="s">
        <v>911</v>
      </c>
      <c r="B930" t="s">
        <v>47</v>
      </c>
      <c r="C930">
        <v>10</v>
      </c>
      <c r="D930">
        <v>6</v>
      </c>
      <c r="E930" t="s">
        <v>32</v>
      </c>
      <c r="F930">
        <v>160.41999999999999</v>
      </c>
      <c r="G930">
        <v>34</v>
      </c>
      <c r="H930" t="s">
        <v>14</v>
      </c>
      <c r="I930" t="s">
        <v>13</v>
      </c>
      <c r="J930" t="s">
        <v>15</v>
      </c>
      <c r="K930">
        <v>160.41999999999999</v>
      </c>
      <c r="L930" t="s">
        <v>16</v>
      </c>
      <c r="M930" t="s">
        <v>16</v>
      </c>
      <c r="N930" t="s">
        <v>923</v>
      </c>
      <c r="O930">
        <f>_xlfn.XLOOKUP(customer_satisfaction_cleaned[[#This Row],[Product Category]],Table2[Product Category],Table2[Delivery SLA (Days)],"NA",0)</f>
        <v>7</v>
      </c>
      <c r="P9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31" spans="1:16" x14ac:dyDescent="0.2">
      <c r="A931" t="s">
        <v>912</v>
      </c>
      <c r="B931" t="s">
        <v>18</v>
      </c>
      <c r="C931">
        <v>4</v>
      </c>
      <c r="D931">
        <v>6</v>
      </c>
      <c r="E931" t="s">
        <v>29</v>
      </c>
      <c r="F931">
        <v>117.03</v>
      </c>
      <c r="G931">
        <v>43</v>
      </c>
      <c r="H931" t="s">
        <v>44</v>
      </c>
      <c r="I931" t="s">
        <v>25</v>
      </c>
      <c r="J931" t="s">
        <v>20</v>
      </c>
      <c r="K931">
        <v>117.03</v>
      </c>
      <c r="L931" t="s">
        <v>16</v>
      </c>
      <c r="M931" t="s">
        <v>16</v>
      </c>
      <c r="N931" t="s">
        <v>923</v>
      </c>
      <c r="O931">
        <f>_xlfn.XLOOKUP(customer_satisfaction_cleaned[[#This Row],[Product Category]],Table2[Product Category],Table2[Delivery SLA (Days)],"NA",0)</f>
        <v>10</v>
      </c>
      <c r="P9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32" spans="1:16" x14ac:dyDescent="0.2">
      <c r="A932" t="s">
        <v>17</v>
      </c>
      <c r="B932" t="s">
        <v>12</v>
      </c>
      <c r="C932">
        <v>9</v>
      </c>
      <c r="D932">
        <v>3</v>
      </c>
      <c r="E932" t="s">
        <v>29</v>
      </c>
      <c r="F932">
        <v>80.19</v>
      </c>
      <c r="G932">
        <v>37</v>
      </c>
      <c r="H932" t="s">
        <v>20</v>
      </c>
      <c r="I932" t="s">
        <v>25</v>
      </c>
      <c r="J932" t="s">
        <v>20</v>
      </c>
      <c r="K932">
        <v>80.19</v>
      </c>
      <c r="L932" t="s">
        <v>16</v>
      </c>
      <c r="M932" t="s">
        <v>16</v>
      </c>
      <c r="N932" t="s">
        <v>923</v>
      </c>
      <c r="O932">
        <f>_xlfn.XLOOKUP(customer_satisfaction_cleaned[[#This Row],[Product Category]],Table2[Product Category],Table2[Delivery SLA (Days)],"NA",0)</f>
        <v>5</v>
      </c>
      <c r="P9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33" spans="1:16" x14ac:dyDescent="0.2">
      <c r="A933" t="s">
        <v>913</v>
      </c>
      <c r="B933" t="s">
        <v>23</v>
      </c>
      <c r="C933">
        <v>7</v>
      </c>
      <c r="D933">
        <v>5</v>
      </c>
      <c r="E933" t="s">
        <v>19</v>
      </c>
      <c r="F933">
        <v>60.11</v>
      </c>
      <c r="H933" t="s">
        <v>29</v>
      </c>
      <c r="I933" t="s">
        <v>21</v>
      </c>
      <c r="J933" t="s">
        <v>25</v>
      </c>
      <c r="K933">
        <v>60.11</v>
      </c>
      <c r="L933" t="s">
        <v>16</v>
      </c>
      <c r="M933" t="s">
        <v>16</v>
      </c>
      <c r="N933" t="s">
        <v>922</v>
      </c>
      <c r="O933">
        <f>_xlfn.XLOOKUP(customer_satisfaction_cleaned[[#This Row],[Product Category]],Table2[Product Category],Table2[Delivery SLA (Days)],"NA",0)</f>
        <v>7</v>
      </c>
      <c r="P9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34" spans="1:16" x14ac:dyDescent="0.2">
      <c r="A934" t="s">
        <v>914</v>
      </c>
      <c r="B934" t="s">
        <v>18</v>
      </c>
      <c r="C934">
        <v>7</v>
      </c>
      <c r="D934">
        <v>3</v>
      </c>
      <c r="E934" t="s">
        <v>32</v>
      </c>
      <c r="F934">
        <v>113.95</v>
      </c>
      <c r="G934">
        <v>9</v>
      </c>
      <c r="H934" t="s">
        <v>42</v>
      </c>
      <c r="I934" t="s">
        <v>13</v>
      </c>
      <c r="J934" t="s">
        <v>25</v>
      </c>
      <c r="K934">
        <v>113.95</v>
      </c>
      <c r="L934" t="s">
        <v>16</v>
      </c>
      <c r="M934" t="s">
        <v>16</v>
      </c>
      <c r="N934" t="s">
        <v>926</v>
      </c>
      <c r="O934">
        <f>_xlfn.XLOOKUP(customer_satisfaction_cleaned[[#This Row],[Product Category]],Table2[Product Category],Table2[Delivery SLA (Days)],"NA",0)</f>
        <v>10</v>
      </c>
      <c r="P9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35" spans="1:16" x14ac:dyDescent="0.2">
      <c r="A935" t="s">
        <v>915</v>
      </c>
      <c r="B935" t="s">
        <v>23</v>
      </c>
      <c r="C935">
        <v>9</v>
      </c>
      <c r="D935">
        <v>8</v>
      </c>
      <c r="E935" t="s">
        <v>32</v>
      </c>
      <c r="F935">
        <v>70.52</v>
      </c>
      <c r="G935">
        <v>37</v>
      </c>
      <c r="H935" t="s">
        <v>24</v>
      </c>
      <c r="I935" t="s">
        <v>13</v>
      </c>
      <c r="J935" t="s">
        <v>25</v>
      </c>
      <c r="K935">
        <v>70.52</v>
      </c>
      <c r="L935" t="s">
        <v>16</v>
      </c>
      <c r="M935" t="s">
        <v>16</v>
      </c>
      <c r="N935" t="s">
        <v>923</v>
      </c>
      <c r="O935">
        <f>_xlfn.XLOOKUP(customer_satisfaction_cleaned[[#This Row],[Product Category]],Table2[Product Category],Table2[Delivery SLA (Days)],"NA",0)</f>
        <v>7</v>
      </c>
      <c r="P9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sheetData>
  <phoneticPr fontId="2" type="noConversion"/>
  <conditionalFormatting sqref="P1">
    <cfRule type="containsText" dxfId="9" priority="4" operator="containsText" text="FAIL : LATE DELIVERY">
      <formula>NOT(ISERROR(SEARCH("FAIL : LATE DELIVERY",P1)))</formula>
    </cfRule>
  </conditionalFormatting>
  <conditionalFormatting sqref="S983:S1048576 P1:P935">
    <cfRule type="containsText" dxfId="8" priority="1" operator="containsText" text="DELIVERY TIME MISSING/NO SLA">
      <formula>NOT(ISERROR(SEARCH("DELIVERY TIME MISSING/NO SLA",P1)))</formula>
    </cfRule>
    <cfRule type="containsText" dxfId="7" priority="2" operator="containsText" text="SLA MET">
      <formula>NOT(ISERROR(SEARCH("SLA MET",P1)))</formula>
    </cfRule>
    <cfRule type="containsText" dxfId="6" priority="3" operator="containsText" text="FAIL : LATE DELIVERY">
      <formula>NOT(ISERROR(SEARCH("FAIL : LATE DELIVERY",P1)))</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D5394-F219-6D40-B0CD-B75F45A85C49}">
  <dimension ref="A1:C5"/>
  <sheetViews>
    <sheetView workbookViewId="0">
      <selection activeCell="A5" sqref="A5"/>
    </sheetView>
  </sheetViews>
  <sheetFormatPr baseColWidth="10" defaultRowHeight="16" x14ac:dyDescent="0.2"/>
  <cols>
    <col min="1" max="1" width="18" bestFit="1" customWidth="1"/>
    <col min="2" max="2" width="19.83203125" bestFit="1" customWidth="1"/>
    <col min="3" max="3" width="15.6640625" bestFit="1" customWidth="1"/>
    <col min="4" max="4" width="15.5" customWidth="1"/>
  </cols>
  <sheetData>
    <row r="1" spans="1:3" x14ac:dyDescent="0.2">
      <c r="A1" t="s">
        <v>1</v>
      </c>
      <c r="B1" t="s">
        <v>916</v>
      </c>
      <c r="C1" t="s">
        <v>917</v>
      </c>
    </row>
    <row r="2" spans="1:3" x14ac:dyDescent="0.2">
      <c r="A2" t="s">
        <v>18</v>
      </c>
      <c r="B2">
        <v>10</v>
      </c>
      <c r="C2">
        <v>14</v>
      </c>
    </row>
    <row r="3" spans="1:3" x14ac:dyDescent="0.2">
      <c r="A3" t="s">
        <v>12</v>
      </c>
      <c r="B3">
        <v>5</v>
      </c>
      <c r="C3">
        <v>7</v>
      </c>
    </row>
    <row r="4" spans="1:3" x14ac:dyDescent="0.2">
      <c r="A4" t="s">
        <v>47</v>
      </c>
      <c r="B4">
        <v>7</v>
      </c>
      <c r="C4">
        <v>10</v>
      </c>
    </row>
    <row r="5" spans="1:3" x14ac:dyDescent="0.2">
      <c r="A5" t="s">
        <v>23</v>
      </c>
      <c r="B5">
        <v>7</v>
      </c>
      <c r="C5">
        <v>10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4382E5D-11B9-0F4C-BDD1-8FAC43063D1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Dashboard</vt:lpstr>
      <vt:lpstr>AvgSatisfaction</vt:lpstr>
      <vt:lpstr>AvgDelivery</vt:lpstr>
      <vt:lpstr>AvgOrderValuevsVol</vt:lpstr>
      <vt:lpstr>FeedbackQuality</vt:lpstr>
      <vt:lpstr>SLAstatus</vt:lpstr>
      <vt:lpstr>customer_satisfaction_data</vt:lpstr>
      <vt:lpstr>Service_Level_Agreements_SLA</vt:lpstr>
      <vt:lpstr>clean_data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HOANG KIM PHUONG NGOC</dc:creator>
  <cp:lastModifiedBy>HOANG KIM PHUONG NGOC</cp:lastModifiedBy>
  <dcterms:created xsi:type="dcterms:W3CDTF">2025-11-11T02:12:16Z</dcterms:created>
  <dcterms:modified xsi:type="dcterms:W3CDTF">2025-12-16T08:39:42Z</dcterms:modified>
</cp:coreProperties>
</file>